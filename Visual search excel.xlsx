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anayatalesra/Desktop/"/>
    </mc:Choice>
  </mc:AlternateContent>
  <xr:revisionPtr revIDLastSave="0" documentId="8_{05A372C3-C616-CA4C-A071-860FC367606F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Data" sheetId="1" r:id="rId1"/>
    <sheet name="Analysi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2" l="1"/>
  <c r="E22" i="2"/>
  <c r="D22" i="2"/>
  <c r="A22" i="2"/>
  <c r="E21" i="2"/>
  <c r="D21" i="2"/>
  <c r="A21" i="2"/>
  <c r="E20" i="2"/>
  <c r="D20" i="2"/>
  <c r="A20" i="2"/>
  <c r="E19" i="2"/>
  <c r="D19" i="2"/>
  <c r="B19" i="2"/>
  <c r="C27" i="2" s="1"/>
  <c r="A19" i="2"/>
  <c r="E18" i="2"/>
  <c r="D18" i="2"/>
  <c r="A18" i="2"/>
  <c r="I9" i="2"/>
  <c r="H9" i="2" a="1"/>
  <c r="H9" i="2" s="1"/>
  <c r="G22" i="2" s="1"/>
  <c r="G9" i="2" a="1"/>
  <c r="G9" i="2" s="1"/>
  <c r="F22" i="2" s="1"/>
  <c r="F9" i="2"/>
  <c r="C22" i="2" s="1"/>
  <c r="F28" i="2" s="1"/>
  <c r="E9" i="2"/>
  <c r="B22" i="2" s="1"/>
  <c r="F27" i="2" s="1"/>
  <c r="C9" i="2"/>
  <c r="I8" i="2"/>
  <c r="H8" i="2" a="1"/>
  <c r="H8" i="2"/>
  <c r="G21" i="2" s="1"/>
  <c r="G8" i="2" a="1"/>
  <c r="G8" i="2"/>
  <c r="F21" i="2" s="1"/>
  <c r="F8" i="2"/>
  <c r="C21" i="2" s="1"/>
  <c r="E28" i="2" s="1"/>
  <c r="E8" i="2"/>
  <c r="B21" i="2" s="1"/>
  <c r="E27" i="2" s="1"/>
  <c r="C8" i="2"/>
  <c r="I7" i="2"/>
  <c r="H7" i="2" a="1"/>
  <c r="H7" i="2" s="1"/>
  <c r="G20" i="2" s="1"/>
  <c r="G7" i="2" a="1"/>
  <c r="G7" i="2" s="1"/>
  <c r="F20" i="2" s="1"/>
  <c r="F7" i="2"/>
  <c r="C20" i="2" s="1"/>
  <c r="D28" i="2" s="1"/>
  <c r="E7" i="2"/>
  <c r="B20" i="2" s="1"/>
  <c r="D27" i="2" s="1"/>
  <c r="C7" i="2"/>
  <c r="I6" i="2"/>
  <c r="H6" i="2" a="1"/>
  <c r="H6" i="2" s="1"/>
  <c r="G19" i="2" s="1"/>
  <c r="G6" i="2" a="1"/>
  <c r="G6" i="2" s="1"/>
  <c r="F19" i="2" s="1"/>
  <c r="F6" i="2"/>
  <c r="J6" i="2" s="1"/>
  <c r="C26" i="2" s="1"/>
  <c r="E6" i="2"/>
  <c r="C6" i="2"/>
  <c r="D6" i="2" s="1"/>
  <c r="I5" i="2"/>
  <c r="I11" i="2" s="1"/>
  <c r="H5" i="2" a="1"/>
  <c r="H5" i="2" s="1"/>
  <c r="G5" i="2" a="1"/>
  <c r="G5" i="2" s="1"/>
  <c r="F5" i="2"/>
  <c r="F10" i="2" s="1"/>
  <c r="C23" i="2" s="1"/>
  <c r="G28" i="2" s="1"/>
  <c r="E5" i="2"/>
  <c r="J5" i="2" s="1"/>
  <c r="C5" i="2"/>
  <c r="C10" i="2" s="1"/>
  <c r="D9" i="2" l="1"/>
  <c r="B11" i="2"/>
  <c r="D7" i="2"/>
  <c r="F18" i="2"/>
  <c r="G10" i="2"/>
  <c r="G11" i="2"/>
  <c r="G18" i="2"/>
  <c r="H10" i="2"/>
  <c r="H11" i="2"/>
  <c r="B26" i="2"/>
  <c r="J10" i="2"/>
  <c r="J11" i="2"/>
  <c r="D5" i="2"/>
  <c r="I10" i="2"/>
  <c r="J7" i="2"/>
  <c r="D26" i="2" s="1"/>
  <c r="J8" i="2"/>
  <c r="E26" i="2" s="1"/>
  <c r="F13" i="2"/>
  <c r="J9" i="2"/>
  <c r="F26" i="2" s="1"/>
  <c r="C19" i="2"/>
  <c r="C28" i="2" s="1"/>
  <c r="C11" i="2"/>
  <c r="B18" i="2"/>
  <c r="B27" i="2" s="1"/>
  <c r="E11" i="2"/>
  <c r="F23" i="2" s="1"/>
  <c r="C18" i="2"/>
  <c r="B28" i="2" s="1"/>
  <c r="E10" i="2"/>
  <c r="B23" i="2" s="1"/>
  <c r="G27" i="2" s="1"/>
  <c r="F11" i="2"/>
  <c r="G23" i="2" s="1"/>
  <c r="D10" i="2" l="1"/>
  <c r="D11" i="2"/>
  <c r="G26" i="2"/>
  <c r="F14" i="2"/>
</calcChain>
</file>

<file path=xl/sharedStrings.xml><?xml version="1.0" encoding="utf-8"?>
<sst xmlns="http://schemas.openxmlformats.org/spreadsheetml/2006/main" count="5044" uniqueCount="1976">
  <si>
    <t>Participant</t>
  </si>
  <si>
    <t>Trial</t>
  </si>
  <si>
    <t>Set size (no. of L distractors)</t>
  </si>
  <si>
    <t>No. of clicks</t>
  </si>
  <si>
    <t>Accurate (1 = first click on T)</t>
  </si>
  <si>
    <t>RT (s, display onset to click on T)</t>
  </si>
  <si>
    <t>Click x</t>
  </si>
  <si>
    <t>Click y</t>
  </si>
  <si>
    <t>Clicked name (raw)</t>
  </si>
  <si>
    <t>Mouse time (raw)</t>
  </si>
  <si>
    <t>trial.started</t>
  </si>
  <si>
    <t>trial.stopped</t>
  </si>
  <si>
    <t>Frame rate (Hz)</t>
  </si>
  <si>
    <t>VS3</t>
  </si>
  <si>
    <t>[-0.4581589958158996]</t>
  </si>
  <si>
    <t>[-0.1705020920502092]</t>
  </si>
  <si>
    <t>['target']</t>
  </si>
  <si>
    <t>[1.4207290000049397]</t>
  </si>
  <si>
    <t>[0.35669456066945604]</t>
  </si>
  <si>
    <t>[0.2112970711297071]</t>
  </si>
  <si>
    <t>[1.0965324166463688]</t>
  </si>
  <si>
    <t>[0.34623430962343094, 0.36297071129707115]</t>
  </si>
  <si>
    <t>[-0.4769874476987448, -0.48221757322175735]</t>
  </si>
  <si>
    <t>[None, 'target']</t>
  </si>
  <si>
    <t>[1.8460658750263974, 2.5458348334068432]</t>
  </si>
  <si>
    <t>[-0.15271966527196654]</t>
  </si>
  <si>
    <t>[0.03765690376569038]</t>
  </si>
  <si>
    <t>[1.2772777082864195]</t>
  </si>
  <si>
    <t>[-0.33577405857740583]</t>
  </si>
  <si>
    <t>[0.007322175732217573]</t>
  </si>
  <si>
    <t>[1.2782553333090618]</t>
  </si>
  <si>
    <t>[-0.07112970711297072]</t>
  </si>
  <si>
    <t>[0.18619246861924685]</t>
  </si>
  <si>
    <t>[1.0795345000224188]</t>
  </si>
  <si>
    <t>[-0.4110878661087866]</t>
  </si>
  <si>
    <t>[0.35564853556485354]</t>
  </si>
  <si>
    <t>[1.0942331249825656]</t>
  </si>
  <si>
    <t>[-0.14958158995815898]</t>
  </si>
  <si>
    <t>[0.1192468619246862]</t>
  </si>
  <si>
    <t>[1.358631041715853]</t>
  </si>
  <si>
    <t>[-0.3797071129707113]</t>
  </si>
  <si>
    <t>[-0.3901673640167364]</t>
  </si>
  <si>
    <t>[1.4955501250224188]</t>
  </si>
  <si>
    <t>[0.08158995815899582]</t>
  </si>
  <si>
    <t>[0.16213389121338911]</t>
  </si>
  <si>
    <t>[1.2953000416746363]</t>
  </si>
  <si>
    <t>[-0.07531380753138076]</t>
  </si>
  <si>
    <t>[0.24686192468619247]</t>
  </si>
  <si>
    <t>[0.8786583750043064]</t>
  </si>
  <si>
    <t>[-0.48430962343096234]</t>
  </si>
  <si>
    <t>[0.2615062761506276]</t>
  </si>
  <si>
    <t>[1.024867208325304]</t>
  </si>
  <si>
    <t>[-0.303347280334728]</t>
  </si>
  <si>
    <t>[0.1684100418410042]</t>
  </si>
  <si>
    <t>[1.1619104583514854]</t>
  </si>
  <si>
    <t>[-0.39539748953974896]</t>
  </si>
  <si>
    <t>[0.2928870292887029]</t>
  </si>
  <si>
    <t>[1.1087065000319853]</t>
  </si>
  <si>
    <t>[-0.2939330543933054]</t>
  </si>
  <si>
    <t>[0.10774058577405858]</t>
  </si>
  <si>
    <t>[1.1588442083448172]</t>
  </si>
  <si>
    <t>[0.20920502092050208]</t>
  </si>
  <si>
    <t>[-0.350418410041841]</t>
  </si>
  <si>
    <t>[1.6229814167600125]</t>
  </si>
  <si>
    <t>[0.3692468619246862]</t>
  </si>
  <si>
    <t>[0.3263598326359833]</t>
  </si>
  <si>
    <t>[1.5251915416447446]</t>
  </si>
  <si>
    <t>[-0.20815899581589958]</t>
  </si>
  <si>
    <t>[0.4769874476987448]</t>
  </si>
  <si>
    <t>[1.3592730417149141]</t>
  </si>
  <si>
    <t>[-0.3682008368200837]</t>
  </si>
  <si>
    <t>[-0.35564853556485354]</t>
  </si>
  <si>
    <t>[1.8118026666343212]</t>
  </si>
  <si>
    <t>[-0.2928870292887029]</t>
  </si>
  <si>
    <t>[-0.48326359832635984]</t>
  </si>
  <si>
    <t>[1.8621981249889359]</t>
  </si>
  <si>
    <t>[0.4895397489539749]</t>
  </si>
  <si>
    <t>[-0.12133891213389121]</t>
  </si>
  <si>
    <t>[1.4919727083761245]</t>
  </si>
  <si>
    <t>[-0.4225941422594142]</t>
  </si>
  <si>
    <t>[0.4571129707112971]</t>
  </si>
  <si>
    <t>[1.5067663750378415]</t>
  </si>
  <si>
    <t>[0.48535564853556484]</t>
  </si>
  <si>
    <t>[1.0787684167735279]</t>
  </si>
  <si>
    <t>[0.4225941422594142]</t>
  </si>
  <si>
    <t>[0.02301255230125523]</t>
  </si>
  <si>
    <t>[1.9088008749531582]</t>
  </si>
  <si>
    <t>[-0.3023012552301255]</t>
  </si>
  <si>
    <t>[0.3713389121338912]</t>
  </si>
  <si>
    <t>[1.175077791674994]</t>
  </si>
  <si>
    <t>[0.13598326359832635]</t>
  </si>
  <si>
    <t>[-0.07635983263598327]</t>
  </si>
  <si>
    <t>[2.1587262499378994]</t>
  </si>
  <si>
    <t>[0.2803347280334728]</t>
  </si>
  <si>
    <t>[-0.21652719665271966]</t>
  </si>
  <si>
    <t>[1.8917249999940395]</t>
  </si>
  <si>
    <t>[0.45188284518828453]</t>
  </si>
  <si>
    <t>[0.2824267782426778]</t>
  </si>
  <si>
    <t>[1.5250650000525638]</t>
  </si>
  <si>
    <t>[-0.497907949790795]</t>
  </si>
  <si>
    <t>[-0.14539748953974896]</t>
  </si>
  <si>
    <t>[1.7739966250956059]</t>
  </si>
  <si>
    <t>[-0.40481171548117156]</t>
  </si>
  <si>
    <t>[0.12343096234309624]</t>
  </si>
  <si>
    <t>[1.3246986250160262]</t>
  </si>
  <si>
    <t>[-0.25732217573221755]</t>
  </si>
  <si>
    <t>[-0.25523012552301255]</t>
  </si>
  <si>
    <t>[1.0929203333798796]</t>
  </si>
  <si>
    <t>[0.47384937238493724]</t>
  </si>
  <si>
    <t>[0.23326359832635984]</t>
  </si>
  <si>
    <t>[1.3928705416619778]</t>
  </si>
  <si>
    <t>[-0.399581589958159]</t>
  </si>
  <si>
    <t>[0.12133891213389121]</t>
  </si>
  <si>
    <t>[1.4955024999799207]</t>
  </si>
  <si>
    <t>[-0.4100418410041841]</t>
  </si>
  <si>
    <t>[0.3127615062761506]</t>
  </si>
  <si>
    <t>[1.0620385000947863]</t>
  </si>
  <si>
    <t>[-0.4393305439330544]</t>
  </si>
  <si>
    <t>[1.3794495833572]</t>
  </si>
  <si>
    <t>[0.08577405857740586]</t>
  </si>
  <si>
    <t>[1.0735209999838844]</t>
  </si>
  <si>
    <t>[0.3064853556485356]</t>
  </si>
  <si>
    <t>[1.9244936249451712]</t>
  </si>
  <si>
    <t>[0.04288702928870293, 0.04811715481171548]</t>
  </si>
  <si>
    <t>[-0.5, -0.47280334728033474]</t>
  </si>
  <si>
    <t>[1.0585675000911579, 1.8749542917357758]</t>
  </si>
  <si>
    <t>[-0.2102510460251046]</t>
  </si>
  <si>
    <t>[-0.08263598326359832]</t>
  </si>
  <si>
    <t>[1.4426349584246054]</t>
  </si>
  <si>
    <t>[0.4497907949790795]</t>
  </si>
  <si>
    <t>[0.19665271966527198]</t>
  </si>
  <si>
    <t>[1.7252295833313838]</t>
  </si>
  <si>
    <t>[0.0]</t>
  </si>
  <si>
    <t>[-0.25313807531380755]</t>
  </si>
  <si>
    <t>[2.475661000004038]</t>
  </si>
  <si>
    <t>[0.252092050209205, 0.2698744769874477]</t>
  </si>
  <si>
    <t>[-0.18723849372384938, -0.19351464435146443]</t>
  </si>
  <si>
    <t>[1.692768624983728, 2.2588207500521094]</t>
  </si>
  <si>
    <t>[0.3294979079497908]</t>
  </si>
  <si>
    <t>[0.06799163179916318]</t>
  </si>
  <si>
    <t>[1.6119040832854807]</t>
  </si>
  <si>
    <t>[0.24267782426778242]</t>
  </si>
  <si>
    <t>[-0.0041841004184100415]</t>
  </si>
  <si>
    <t>[1.1093815832864493]</t>
  </si>
  <si>
    <t>[0.25627615062761505]</t>
  </si>
  <si>
    <t>[1.2583348749903962]</t>
  </si>
  <si>
    <t>[0.08263598326359832]</t>
  </si>
  <si>
    <t>[-0.09100418410041841]</t>
  </si>
  <si>
    <t>[1.179374416708015]</t>
  </si>
  <si>
    <t>[-0.14330543933054393]</t>
  </si>
  <si>
    <t>[-0.011506276150627616]</t>
  </si>
  <si>
    <t>[1.2789537915959954]</t>
  </si>
  <si>
    <t>[0.33368200836820083]</t>
  </si>
  <si>
    <t>[0.036610878661087864]</t>
  </si>
  <si>
    <t>[1.2258957916637883]</t>
  </si>
  <si>
    <t>[-0.47175732217573224]</t>
  </si>
  <si>
    <t>[0.33158995815899583]</t>
  </si>
  <si>
    <t>[1.7541581667028368]</t>
  </si>
  <si>
    <t>[0.4131799163179916]</t>
  </si>
  <si>
    <t>[0.2510460251046025]</t>
  </si>
  <si>
    <t>[1.791158958338201]</t>
  </si>
  <si>
    <t>[0.22071129707112971]</t>
  </si>
  <si>
    <t>[1.976031875004992]</t>
  </si>
  <si>
    <t>[-0.24476987447698745]</t>
  </si>
  <si>
    <t>[0.18514644351464435]</t>
  </si>
  <si>
    <t>[1.1621862499741837]</t>
  </si>
  <si>
    <t>[-0.19456066945606695]</t>
  </si>
  <si>
    <t>[-0.2792887029288703]</t>
  </si>
  <si>
    <t>[1.195270083262585]</t>
  </si>
  <si>
    <t>[0.23640167364016737]</t>
  </si>
  <si>
    <t>[-0.46338912133891214]</t>
  </si>
  <si>
    <t>[1.5793225833913311]</t>
  </si>
  <si>
    <t>[-0.26359832635983266]</t>
  </si>
  <si>
    <t>[0.18305439330543932]</t>
  </si>
  <si>
    <t>[1.4262810833752155]</t>
  </si>
  <si>
    <t>[0.3797071129707113]</t>
  </si>
  <si>
    <t>[0.10251046025104603]</t>
  </si>
  <si>
    <t>[1.6778194999787956]</t>
  </si>
  <si>
    <t>[-0.2175732217573222]</t>
  </si>
  <si>
    <t>[-0.35460251046025104]</t>
  </si>
  <si>
    <t>[1.441735208267346]</t>
  </si>
  <si>
    <t>[-0.4445606694560669]</t>
  </si>
  <si>
    <t>[0.2698744769874477]</t>
  </si>
  <si>
    <t>[2.1597116249613464]</t>
  </si>
  <si>
    <t>[0.09937238493723849]</t>
  </si>
  <si>
    <t>[1.5121823333902285]</t>
  </si>
  <si>
    <t>[-0.09205020920502092]</t>
  </si>
  <si>
    <t>[0.07531380753138076]</t>
  </si>
  <si>
    <t>[1.9252080833539367]</t>
  </si>
  <si>
    <t>[-0.13807531380753138]</t>
  </si>
  <si>
    <t>[0.011506276150627616]</t>
  </si>
  <si>
    <t>[1.4925145000452176]</t>
  </si>
  <si>
    <t>[0.3682008368200837, 0.3472803347280335]</t>
  </si>
  <si>
    <t>[-0.4801255230125523, -0.48430962343096234]</t>
  </si>
  <si>
    <t>[1.460880708298646, 2.0769574582809582]</t>
  </si>
  <si>
    <t>[-0.19560669456066945]</t>
  </si>
  <si>
    <t>[-0.4246861924686193]</t>
  </si>
  <si>
    <t>[1.742930999957025]</t>
  </si>
  <si>
    <t>[-0.4916317991631799]</t>
  </si>
  <si>
    <t>[0.09414225941422594]</t>
  </si>
  <si>
    <t>[1.4124326249584556]</t>
  </si>
  <si>
    <t>[-0.3389121338912134]</t>
  </si>
  <si>
    <t>[-0.15690376569037656]</t>
  </si>
  <si>
    <t>[1.294998541707173]</t>
  </si>
  <si>
    <t>[0.35251046025104604]</t>
  </si>
  <si>
    <t>[0.3598326359832636]</t>
  </si>
  <si>
    <t>[2.175667208386585]</t>
  </si>
  <si>
    <t>[-0.4424686192468619]</t>
  </si>
  <si>
    <t>[0.09518828451882845]</t>
  </si>
  <si>
    <t>[1.6624459583545104]</t>
  </si>
  <si>
    <t>[-0.28451882845188287]</t>
  </si>
  <si>
    <t>[0.28870292887029286]</t>
  </si>
  <si>
    <t>[1.3726541249779984]</t>
  </si>
  <si>
    <t>[-0.005230125523012552]</t>
  </si>
  <si>
    <t>[3.192301500006579]</t>
  </si>
  <si>
    <t>[-0.34309623430962344]</t>
  </si>
  <si>
    <t>[-0.05439330543933055]</t>
  </si>
  <si>
    <t>[1.4808658750262111]</t>
  </si>
  <si>
    <t>[-0.08158995815899582]</t>
  </si>
  <si>
    <t>[-0.3148535564853556]</t>
  </si>
  <si>
    <t>[1.4130194167373702]</t>
  </si>
  <si>
    <t>[0.4100418410041841]</t>
  </si>
  <si>
    <t>[-0.4696652719665272]</t>
  </si>
  <si>
    <t>[1.8466364999767393]</t>
  </si>
  <si>
    <t>[-0.10251046025104603]</t>
  </si>
  <si>
    <t>[-0.20920502092050208]</t>
  </si>
  <si>
    <t>[1.2313209583517164]</t>
  </si>
  <si>
    <t>[0.15376569037656904]</t>
  </si>
  <si>
    <t>[1.1813164999475703]</t>
  </si>
  <si>
    <t>[-0.46234309623430964]</t>
  </si>
  <si>
    <t>[1.514726291759871]</t>
  </si>
  <si>
    <t>[0.3922594142259414]</t>
  </si>
  <si>
    <t>[1.1812921667005867]</t>
  </si>
  <si>
    <t>[-0.19769874476987448]</t>
  </si>
  <si>
    <t>[0.46443514644351463]</t>
  </si>
  <si>
    <t>[1.246420458308421]</t>
  </si>
  <si>
    <t>[0.027196652719665274]</t>
  </si>
  <si>
    <t>[-0.4121338912133891]</t>
  </si>
  <si>
    <t>[1.93145395827014]</t>
  </si>
  <si>
    <t>[-0.27719665271966526]</t>
  </si>
  <si>
    <t>[-0.16213389121338911]</t>
  </si>
  <si>
    <t>[1.7297410833416507]</t>
  </si>
  <si>
    <t>[0.26778242677824265]</t>
  </si>
  <si>
    <t>[0.44142259414225943]</t>
  </si>
  <si>
    <t>[2.0962501249741763]</t>
  </si>
  <si>
    <t>[-0.01778242677824268]</t>
  </si>
  <si>
    <t>[1.748472333420068]</t>
  </si>
  <si>
    <t>[-0.03556485355648536]</t>
  </si>
  <si>
    <t>[-0.18619246861924685]</t>
  </si>
  <si>
    <t>[1.0128850833280012]</t>
  </si>
  <si>
    <t>[0.1799163179916318]</t>
  </si>
  <si>
    <t>[0.3305439330543933]</t>
  </si>
  <si>
    <t>[1.1975155000109226]</t>
  </si>
  <si>
    <t>[0.49372384937238495]</t>
  </si>
  <si>
    <t>[-0.04707112970711297]</t>
  </si>
  <si>
    <t>[1.2316952917026356]</t>
  </si>
  <si>
    <t>[0.3117154811715481]</t>
  </si>
  <si>
    <t>[-0.1506276150627615]</t>
  </si>
  <si>
    <t>[1.1478984582936391]</t>
  </si>
  <si>
    <t>[0.40481171548117156]</t>
  </si>
  <si>
    <t>[0.07112970711297072]</t>
  </si>
  <si>
    <t>[1.665033333352767]</t>
  </si>
  <si>
    <t>[-0.09414225941422594]</t>
  </si>
  <si>
    <t>[-0.3284518828451883]</t>
  </si>
  <si>
    <t>[2.0811280416091904]</t>
  </si>
  <si>
    <t>[1.2464547083945945]</t>
  </si>
  <si>
    <t>[0.48640167364016734]</t>
  </si>
  <si>
    <t>[0.08368200836820083]</t>
  </si>
  <si>
    <t>[1.7963212083559483]</t>
  </si>
  <si>
    <t>[0.20815899581589958]</t>
  </si>
  <si>
    <t>[1.5795769999967888]</t>
  </si>
  <si>
    <t>[-0.08577405857740586]</t>
  </si>
  <si>
    <t>[1.5817411249736324]</t>
  </si>
  <si>
    <t>[-0.39748953974895396]</t>
  </si>
  <si>
    <t>[1.4130232917377725]</t>
  </si>
  <si>
    <t>[0.2583682008368201]</t>
  </si>
  <si>
    <t>[-0.09518828451882845]</t>
  </si>
  <si>
    <t>[1.0980917500564829]</t>
  </si>
  <si>
    <t>[0.4361924686192469]</t>
  </si>
  <si>
    <t>[1.0296786667313427]</t>
  </si>
  <si>
    <t>[-0.34414225941422594]</t>
  </si>
  <si>
    <t>[1.4646023749373853]</t>
  </si>
  <si>
    <t>[-0.20502092050209206]</t>
  </si>
  <si>
    <t>[-0.02405857740585774]</t>
  </si>
  <si>
    <t>[0.9811696666292846]</t>
  </si>
  <si>
    <t>[0.12447698744769875]</t>
  </si>
  <si>
    <t>[-0.4236401673640167]</t>
  </si>
  <si>
    <t>[1.863078000023961]</t>
  </si>
  <si>
    <t>[0.1202928870292887]</t>
  </si>
  <si>
    <t>[-0.014644351464435146]</t>
  </si>
  <si>
    <t>[1.5483827500138432]</t>
  </si>
  <si>
    <t>[0.01882845188284519, -0.37656903765690375]</t>
  </si>
  <si>
    <t>[-0.011506276150627616, -0.1087866108786611]</t>
  </si>
  <si>
    <t>[1.5462167916120961, 2.9128489582799375]</t>
  </si>
  <si>
    <t>[0.4560669456066946]</t>
  </si>
  <si>
    <t>[1.3312689999584109]</t>
  </si>
  <si>
    <t>[-0.2112970711297071]</t>
  </si>
  <si>
    <t>[0.04497907949790795]</t>
  </si>
  <si>
    <t>[1.912739625084214]</t>
  </si>
  <si>
    <t>[-0.37343096234309625]</t>
  </si>
  <si>
    <t>[0.2196652719665272]</t>
  </si>
  <si>
    <t>[1.1131492916028947]</t>
  </si>
  <si>
    <t>[-0.3106694560669456]</t>
  </si>
  <si>
    <t>[0.151673640167364]</t>
  </si>
  <si>
    <t>[1.1482029999606311]</t>
  </si>
  <si>
    <t>[0.252092050209205]</t>
  </si>
  <si>
    <t>[-0.29916317991631797]</t>
  </si>
  <si>
    <t>[1.3645032084314153]</t>
  </si>
  <si>
    <t>[1.2980971250217408]</t>
  </si>
  <si>
    <t>[0.40376569037656906]</t>
  </si>
  <si>
    <t>[0.39330543933054396]</t>
  </si>
  <si>
    <t>[1.248352500027977]</t>
  </si>
  <si>
    <t>[0.06694560669456066]</t>
  </si>
  <si>
    <t>[1.6963860833784565]</t>
  </si>
  <si>
    <t>[0.15481171548117154]</t>
  </si>
  <si>
    <t>[0.3410041841004184]</t>
  </si>
  <si>
    <t>[1.8798469583271071]</t>
  </si>
  <si>
    <t>[-0.1401673640167364]</t>
  </si>
  <si>
    <t>[0.28451882845188287]</t>
  </si>
  <si>
    <t>[0.9812317499890924]</t>
  </si>
  <si>
    <t>[-0.3263598326359833]</t>
  </si>
  <si>
    <t>[1.746315083350055]</t>
  </si>
  <si>
    <t>[0.3002092050209205]</t>
  </si>
  <si>
    <t>[0.12866108786610878]</t>
  </si>
  <si>
    <t>[1.9299952499568462]</t>
  </si>
  <si>
    <t>[-0.4476987447698745]</t>
  </si>
  <si>
    <t>[1.6314027083572]</t>
  </si>
  <si>
    <t>[-0.09832635983263599]</t>
  </si>
  <si>
    <t>[1.3646923332707956]</t>
  </si>
  <si>
    <t>[-0.08054393305439331]</t>
  </si>
  <si>
    <t>[-0.13179916317991633]</t>
  </si>
  <si>
    <t>[1.0144871666561812]</t>
  </si>
  <si>
    <t>[-0.3880753138075314]</t>
  </si>
  <si>
    <t>[1.0132141666254029]</t>
  </si>
  <si>
    <t>[-0.47489539748953974]</t>
  </si>
  <si>
    <t>[0.13493723849372385]</t>
  </si>
  <si>
    <t>[1.5131883333669975]</t>
  </si>
  <si>
    <t>[-0.3493723849372385]</t>
  </si>
  <si>
    <t>[1.4628957917448133]</t>
  </si>
  <si>
    <t>[0.47594142259414224]</t>
  </si>
  <si>
    <t>[-0.3305439330543933]</t>
  </si>
  <si>
    <t>[1.731398000032641]</t>
  </si>
  <si>
    <t>[-0.2217573221757322]</t>
  </si>
  <si>
    <t>[2.0298169165616855]</t>
  </si>
  <si>
    <t>[-0.2907949790794979]</t>
  </si>
  <si>
    <t>[1.414730791701004]</t>
  </si>
  <si>
    <t>[0.46234309623430964]</t>
  </si>
  <si>
    <t>[0.12656903765690378]</t>
  </si>
  <si>
    <t>[2.097861083340831]</t>
  </si>
  <si>
    <t>[-0.12343096234309624]</t>
  </si>
  <si>
    <t>[2.1147946666460484]</t>
  </si>
  <si>
    <t>[-0.13493723849372385]</t>
  </si>
  <si>
    <t>[1.3963782499777153]</t>
  </si>
  <si>
    <t>[0.1705020920502092]</t>
  </si>
  <si>
    <t>[1.2305349166272208]</t>
  </si>
  <si>
    <t>[0.07740585774058577]</t>
  </si>
  <si>
    <t>[0.10146443514644352]</t>
  </si>
  <si>
    <t>[1.5973862915998325]</t>
  </si>
  <si>
    <t>[-0.30857740585774057]</t>
  </si>
  <si>
    <t>[-0.11506276150627615]</t>
  </si>
  <si>
    <t>[2.2132702083326876]</t>
  </si>
  <si>
    <t>[0.44037656903765693]</t>
  </si>
  <si>
    <t>[0.38702928870292885]</t>
  </si>
  <si>
    <t>[1.3129126250278205]</t>
  </si>
  <si>
    <t>[2.0813951666932553]</t>
  </si>
  <si>
    <t>[0.24163179916317992]</t>
  </si>
  <si>
    <t>[0.29497907949790797]</t>
  </si>
  <si>
    <t>[1.1647027499275282]</t>
  </si>
  <si>
    <t>[0.20188284518828453]</t>
  </si>
  <si>
    <t>[-0.4215481171548117]</t>
  </si>
  <si>
    <t>[1.862993041635491]</t>
  </si>
  <si>
    <t>[0.14748953974895398, 0.1202928870292887]</t>
  </si>
  <si>
    <t>[0.4246861924686193, 0.4309623430962343]</t>
  </si>
  <si>
    <t>[1.3632460415828973, 1.99649291660171]</t>
  </si>
  <si>
    <t>[0.25732217573221755]</t>
  </si>
  <si>
    <t>[-0.19665271966527198]</t>
  </si>
  <si>
    <t>[1.481394000002183]</t>
  </si>
  <si>
    <t>[-0.027196652719665274]</t>
  </si>
  <si>
    <t>[2.162789791706018]</t>
  </si>
  <si>
    <t>[-0.32322175732217573]</t>
  </si>
  <si>
    <t>[-0.48221757322175735]</t>
  </si>
  <si>
    <t>[2.0316907500382513]</t>
  </si>
  <si>
    <t>[-0.4382845188284519]</t>
  </si>
  <si>
    <t>[-0.3723849372384937]</t>
  </si>
  <si>
    <t>[1.8963555416557938]</t>
  </si>
  <si>
    <t>[0.038702928870292884]</t>
  </si>
  <si>
    <t>[1.881228749989532]</t>
  </si>
  <si>
    <t>[-0.036610878661087864]</t>
  </si>
  <si>
    <t>[-0.13702928870292888]</t>
  </si>
  <si>
    <t>[1.814822791609913]</t>
  </si>
  <si>
    <t>[-0.015690376569037656]</t>
  </si>
  <si>
    <t>[1.4314382083248347]</t>
  </si>
  <si>
    <t>[0.049163179916317995]</t>
  </si>
  <si>
    <t>[-0.24790794979079497]</t>
  </si>
  <si>
    <t>[2.0627449167659506]</t>
  </si>
  <si>
    <t>[0.45397489539748953]</t>
  </si>
  <si>
    <t>[0.1788702928870293]</t>
  </si>
  <si>
    <t>[1.1984143749577925]</t>
  </si>
  <si>
    <t>[-0.3776150627615063]</t>
  </si>
  <si>
    <t>[1.6795474166283384]</t>
  </si>
  <si>
    <t>[-0.21234309623430964]</t>
  </si>
  <si>
    <t>[0.06903765690376569]</t>
  </si>
  <si>
    <t>[1.4298081666929647]</t>
  </si>
  <si>
    <t>[0.20711297071129708]</t>
  </si>
  <si>
    <t>[-0.14225941422594143]</t>
  </si>
  <si>
    <t>[1.1478545416612178]</t>
  </si>
  <si>
    <t>[0.2813807531380753]</t>
  </si>
  <si>
    <t>[1.5132680833339691]</t>
  </si>
  <si>
    <t>[0.32426778242677823]</t>
  </si>
  <si>
    <t>[0.056485355648535567]</t>
  </si>
  <si>
    <t>[1.3814332500332966]</t>
  </si>
  <si>
    <t>[-0.4707112970711297]</t>
  </si>
  <si>
    <t>[-0.02301255230125523]</t>
  </si>
  <si>
    <t>[1.2295202083187178]</t>
  </si>
  <si>
    <t>[-0.4194560669456067]</t>
  </si>
  <si>
    <t>[-0.1192468619246862]</t>
  </si>
  <si>
    <t>[1.2314992082538083]</t>
  </si>
  <si>
    <t>[-0.47280334728033474]</t>
  </si>
  <si>
    <t>[-0.3064853556485356]</t>
  </si>
  <si>
    <t>[1.3965552083682269]</t>
  </si>
  <si>
    <t>[-0.36610878661087864]</t>
  </si>
  <si>
    <t>[0.3043933054393305]</t>
  </si>
  <si>
    <t>[1.3644367083907127]</t>
  </si>
  <si>
    <t>[0.09309623430962342]</t>
  </si>
  <si>
    <t>[-0.06589958158995816]</t>
  </si>
  <si>
    <t>[1.6630179167259485]</t>
  </si>
  <si>
    <t>[-0.11820083682008369]</t>
  </si>
  <si>
    <t>[0.41527196652719667]</t>
  </si>
  <si>
    <t>[1.4817475833697245]</t>
  </si>
  <si>
    <t>[-0.09623430962343096]</t>
  </si>
  <si>
    <t>[2.0129113332368433]</t>
  </si>
  <si>
    <t>[0.14748953974895398]</t>
  </si>
  <si>
    <t>[0.24372384937238495]</t>
  </si>
  <si>
    <t>[1.5964552500518039]</t>
  </si>
  <si>
    <t>[0.4236401673640167]</t>
  </si>
  <si>
    <t>[1.98114849999547]</t>
  </si>
  <si>
    <t>[0.3702928870292887]</t>
  </si>
  <si>
    <t>[1.3299686666578054]</t>
  </si>
  <si>
    <t>[1.3647937083151191]</t>
  </si>
  <si>
    <t>[0.04184100418410042]</t>
  </si>
  <si>
    <t>[-0.40376569037656906]</t>
  </si>
  <si>
    <t>[1.6978765000822023]</t>
  </si>
  <si>
    <t>[0.4330543933054393]</t>
  </si>
  <si>
    <t>[0.16631799163179917]</t>
  </si>
  <si>
    <t>[1.5979880000231788]</t>
  </si>
  <si>
    <t>[1.1462338333949447]</t>
  </si>
  <si>
    <t>[0.4675732217573222]</t>
  </si>
  <si>
    <t>[1.230129333329387]</t>
  </si>
  <si>
    <t>[0.17468619246861924]</t>
  </si>
  <si>
    <t>[-0.18828451882845187]</t>
  </si>
  <si>
    <t>[1.547809375100769]</t>
  </si>
  <si>
    <t>[0.47280334728033474]</t>
  </si>
  <si>
    <t>[-0.04184100418410042]</t>
  </si>
  <si>
    <t>[1.7812014584196731]</t>
  </si>
  <si>
    <t>[-0.45188284518828453]</t>
  </si>
  <si>
    <t>[1.896675041760318]</t>
  </si>
  <si>
    <t>[0.19246861924686193]</t>
  </si>
  <si>
    <t>[-0.33368200836820083]</t>
  </si>
  <si>
    <t>[1.1975925416918471]</t>
  </si>
  <si>
    <t>[0.08891213389121339]</t>
  </si>
  <si>
    <t>[-0.08891213389121339]</t>
  </si>
  <si>
    <t>[0.8986561666242778]</t>
  </si>
  <si>
    <t>[-0.1694560669456067, -0.19560669456066945]</t>
  </si>
  <si>
    <t>[0.16631799163179917, 0.16317991631799164]</t>
  </si>
  <si>
    <t>[1.497402916662395, 2.0470797083107755]</t>
  </si>
  <si>
    <t>[0.3912133891213389]</t>
  </si>
  <si>
    <t>[0.4811715481171548]</t>
  </si>
  <si>
    <t>[1.4302510833367705]</t>
  </si>
  <si>
    <t>[-0.200836820083682]</t>
  </si>
  <si>
    <t>[1.4458616665797308]</t>
  </si>
  <si>
    <t>[0.22384937238493724]</t>
  </si>
  <si>
    <t>[1.4631117500830442]</t>
  </si>
  <si>
    <t>[-0.2405857740585774]</t>
  </si>
  <si>
    <t>[1.3647718334104866]</t>
  </si>
  <si>
    <t>[-0.4895397489539749]</t>
  </si>
  <si>
    <t>[0.21548117154811716]</t>
  </si>
  <si>
    <t>[1.396284916670993]</t>
  </si>
  <si>
    <t>[2.4965070832986385]</t>
  </si>
  <si>
    <t>[-0.11715481171548117]</t>
  </si>
  <si>
    <t>[0.19351464435146443]</t>
  </si>
  <si>
    <t>[2.1963953332742676]</t>
  </si>
  <si>
    <t>[0.4790794979079498]</t>
  </si>
  <si>
    <t>[1.181162583292462]</t>
  </si>
  <si>
    <t>[-0.12552301255230125]</t>
  </si>
  <si>
    <t>[-0.11610878661087866]</t>
  </si>
  <si>
    <t>[1.6127422916470096]</t>
  </si>
  <si>
    <t>[-0.12656903765690378]</t>
  </si>
  <si>
    <t>[2.1466492083854973]</t>
  </si>
  <si>
    <t>[0.06276150627615062]</t>
  </si>
  <si>
    <t>[2.412982124951668]</t>
  </si>
  <si>
    <t>[0.2918410041841004]</t>
  </si>
  <si>
    <t>[-0.2280334728033473]</t>
  </si>
  <si>
    <t>[1.5812751250341535]</t>
  </si>
  <si>
    <t>[-0.35251046025104604]</t>
  </si>
  <si>
    <t>[-0.05230125523012552]</t>
  </si>
  <si>
    <t>[1.4813856666442007]</t>
  </si>
  <si>
    <t>[-0.3922594142259414]</t>
  </si>
  <si>
    <t>[-0.3399581589958159]</t>
  </si>
  <si>
    <t>[1.364246750017628]</t>
  </si>
  <si>
    <t>[0.14539748953974896]</t>
  </si>
  <si>
    <t>[-0.23430962343096234]</t>
  </si>
  <si>
    <t>[1.3481148750288412]</t>
  </si>
  <si>
    <t>[0.1412133891213389]</t>
  </si>
  <si>
    <t>[-0.38702928870292885]</t>
  </si>
  <si>
    <t>[1.2149357083253562]</t>
  </si>
  <si>
    <t>[0.33472803347280333]</t>
  </si>
  <si>
    <t>[-0.27405857740585776]</t>
  </si>
  <si>
    <t>[1.0798257500864565]</t>
  </si>
  <si>
    <t>[0.27510460251046026]</t>
  </si>
  <si>
    <t>[-0.3598326359832636]</t>
  </si>
  <si>
    <t>[1.3309764167061076]</t>
  </si>
  <si>
    <t>[-0.26569037656903766, -0.23535564853556484]</t>
  </si>
  <si>
    <t>[0.3901673640167364, 0.39644351464435146]</t>
  </si>
  <si>
    <t>[1.913059416692704, 2.7129630834097043]</t>
  </si>
  <si>
    <t>[-0.32426778242677823]</t>
  </si>
  <si>
    <t>[-0.07845188284518828]</t>
  </si>
  <si>
    <t>[1.4796497082570568]</t>
  </si>
  <si>
    <t>[-0.4299163179916318]</t>
  </si>
  <si>
    <t>[1.4132201250176877]</t>
  </si>
  <si>
    <t>[-0.35355648535564854]</t>
  </si>
  <si>
    <t>[-0.0502092050209205]</t>
  </si>
  <si>
    <t>[1.32961979159154]</t>
  </si>
  <si>
    <t>[0.4665271966527197]</t>
  </si>
  <si>
    <t>[0.9317364583257586]</t>
  </si>
  <si>
    <t>[-0.4309623430962343]</t>
  </si>
  <si>
    <t>[1.2967399166664109]</t>
  </si>
  <si>
    <t>[-0.4456066945606695]</t>
  </si>
  <si>
    <t>[1.2147217084420845]</t>
  </si>
  <si>
    <t>[-0.04497907949790795]</t>
  </si>
  <si>
    <t>[0.0899581589958159]</t>
  </si>
  <si>
    <t>[1.4479050000663847]</t>
  </si>
  <si>
    <t>[1.629849624936469]</t>
  </si>
  <si>
    <t>[-0.02510460251046025]</t>
  </si>
  <si>
    <t>[-0.16317991631799164]</t>
  </si>
  <si>
    <t>[1.4462090416345745]</t>
  </si>
  <si>
    <t>[0.46338912133891214]</t>
  </si>
  <si>
    <t>[1.3798985416069627]</t>
  </si>
  <si>
    <t>[0.3880753138075314]</t>
  </si>
  <si>
    <t>[0.14644351464435146]</t>
  </si>
  <si>
    <t>[1.7300826250575483]</t>
  </si>
  <si>
    <t>[0.23430962343096234]</t>
  </si>
  <si>
    <t>[1.5142692916560918]</t>
  </si>
  <si>
    <t>[-0.49581589958158995]</t>
  </si>
  <si>
    <t>[1.5964416249189526]</t>
  </si>
  <si>
    <t>[-0.021966527196652718]</t>
  </si>
  <si>
    <t>[0.2489539748953975]</t>
  </si>
  <si>
    <t>[1.613445374998264]</t>
  </si>
  <si>
    <t>[-0.16422594142259414]</t>
  </si>
  <si>
    <t>[0.34309623430962344]</t>
  </si>
  <si>
    <t>[1.512788666645065]</t>
  </si>
  <si>
    <t>VS4</t>
  </si>
  <si>
    <t>[0.15585774058577406]</t>
  </si>
  <si>
    <t>[1.5564252082258463]</t>
  </si>
  <si>
    <t>[0.1694560669456067]</t>
  </si>
  <si>
    <t>[1.478602624963969]</t>
  </si>
  <si>
    <t>[-0.17573221757322174]</t>
  </si>
  <si>
    <t>[0.9633698749821633]</t>
  </si>
  <si>
    <t>[0.4592050209205021]</t>
  </si>
  <si>
    <t>[-0.33472803347280333]</t>
  </si>
  <si>
    <t>[1.4808409999823198]</t>
  </si>
  <si>
    <t>[-0.35669456066945604]</t>
  </si>
  <si>
    <t>[-0.29602510460251047]</t>
  </si>
  <si>
    <t>[1.4316157916327938]</t>
  </si>
  <si>
    <t>[0.3075313807531381]</t>
  </si>
  <si>
    <t>[1.1630722499685362]</t>
  </si>
  <si>
    <t>[0.2939330543933054]</t>
  </si>
  <si>
    <t>[-0.3912133891213389]</t>
  </si>
  <si>
    <t>[0.9812105000019073]</t>
  </si>
  <si>
    <t>[0.06171548117154812]</t>
  </si>
  <si>
    <t>[0.26673640167364016]</t>
  </si>
  <si>
    <t>[1.2483832916477695]</t>
  </si>
  <si>
    <t>[0.4456066945606695]</t>
  </si>
  <si>
    <t>[-0.056485355648535567]</t>
  </si>
  <si>
    <t>[1.1130525832995772]</t>
  </si>
  <si>
    <t>[0.05753138075313807]</t>
  </si>
  <si>
    <t>[0.3472803347280335]</t>
  </si>
  <si>
    <t>[1.7296992500778288]</t>
  </si>
  <si>
    <t>[0.32322175732217573]</t>
  </si>
  <si>
    <t>[1.163104583392851]</t>
  </si>
  <si>
    <t>[0.13284518828451883]</t>
  </si>
  <si>
    <t>[0.4393305439330544]</t>
  </si>
  <si>
    <t>[1.1147399583132938]</t>
  </si>
  <si>
    <t>[0.35460251046025104]</t>
  </si>
  <si>
    <t>[-0.2395397489539749]</t>
  </si>
  <si>
    <t>[1.1479336250340566]</t>
  </si>
  <si>
    <t>[0.09728033472803348]</t>
  </si>
  <si>
    <t>[0.8814509166404605]</t>
  </si>
  <si>
    <t>[-0.006276150627615063]</t>
  </si>
  <si>
    <t>[0.7647356666857377]</t>
  </si>
  <si>
    <t>[-0.22594142259414227]</t>
  </si>
  <si>
    <t>[1.2796160832513124]</t>
  </si>
  <si>
    <t>[0.24581589958158995]</t>
  </si>
  <si>
    <t>[0.008368200836820083]</t>
  </si>
  <si>
    <t>[1.5631408750778064]</t>
  </si>
  <si>
    <t>[-0.2907949790794979, -0.2824267782426778]</t>
  </si>
  <si>
    <t>[0.3158995815899582, 0.3169456066945607]</t>
  </si>
  <si>
    <t>[1.1801375834038481, 1.8132603333797306]</t>
  </si>
  <si>
    <t>[0.22698744769874477]</t>
  </si>
  <si>
    <t>[0.7815216666786]</t>
  </si>
  <si>
    <t>[-0.19142259414225943]</t>
  </si>
  <si>
    <t>[-0.4769874476987448]</t>
  </si>
  <si>
    <t>[1.2955949165625498]</t>
  </si>
  <si>
    <t>[-0.3075313807531381]</t>
  </si>
  <si>
    <t>[0.03556485355648536]</t>
  </si>
  <si>
    <t>[1.1811548332916573]</t>
  </si>
  <si>
    <t>[-0.2824267782426778]</t>
  </si>
  <si>
    <t>[-0.4592050209205021]</t>
  </si>
  <si>
    <t>[1.2649249583482742]</t>
  </si>
  <si>
    <t>[0.2290794979079498]</t>
  </si>
  <si>
    <t>[1.4965584583114833]</t>
  </si>
  <si>
    <t>[0.028242677824267783]</t>
  </si>
  <si>
    <t>[1.4463096666149795]</t>
  </si>
  <si>
    <t>[-0.010460251046025104]</t>
  </si>
  <si>
    <t>[1.3294767083134502]</t>
  </si>
  <si>
    <t>[-0.38284518828451886]</t>
  </si>
  <si>
    <t>[-0.3253138075313807]</t>
  </si>
  <si>
    <t>[1.44828070839867]</t>
  </si>
  <si>
    <t>[-0.2301255230125523]</t>
  </si>
  <si>
    <t>[1.347995208343491]</t>
  </si>
  <si>
    <t>[-0.1412133891213389]</t>
  </si>
  <si>
    <t>[0.030334728033472803]</t>
  </si>
  <si>
    <t>[1.4480179583188146]</t>
  </si>
  <si>
    <t>[1.381376541685313]</t>
  </si>
  <si>
    <t>[-0.17782426778242677]</t>
  </si>
  <si>
    <t>[1.246292041731067]</t>
  </si>
  <si>
    <t>[1.4633216250222176]</t>
  </si>
  <si>
    <t>[0.19560669456066945]</t>
  </si>
  <si>
    <t>[1.214722333359532]</t>
  </si>
  <si>
    <t>[-0.27824267782426776]</t>
  </si>
  <si>
    <t>[1.312902208417654]</t>
  </si>
  <si>
    <t>[-0.23640167364016737]</t>
  </si>
  <si>
    <t>[1.313609083299525]</t>
  </si>
  <si>
    <t>[-0.08472803347280335]</t>
  </si>
  <si>
    <t>[-0.028242677824267783]</t>
  </si>
  <si>
    <t>[0.9641353333136067]</t>
  </si>
  <si>
    <t>[0.42573221757322177]</t>
  </si>
  <si>
    <t>[1.429703666595742]</t>
  </si>
  <si>
    <t>[-0.47594142259414224]</t>
  </si>
  <si>
    <t>[-0.03347280334728033]</t>
  </si>
  <si>
    <t>[1.779513124958612]</t>
  </si>
  <si>
    <t>[-0.06694560669456066]</t>
  </si>
  <si>
    <t>[1.3133124166633934]</t>
  </si>
  <si>
    <t>[0.42677824267782427]</t>
  </si>
  <si>
    <t>[-0.34518828451882844]</t>
  </si>
  <si>
    <t>[1.61472012498416]</t>
  </si>
  <si>
    <t>[0.47489539748953974]</t>
  </si>
  <si>
    <t>[1.8813230416271836]</t>
  </si>
  <si>
    <t>[-0.23744769874476987]</t>
  </si>
  <si>
    <t>[0.36506276150627615]</t>
  </si>
  <si>
    <t>[1.3479010000592098]</t>
  </si>
  <si>
    <t>[0.1809623430962343]</t>
  </si>
  <si>
    <t>[-0.15481171548117154]</t>
  </si>
  <si>
    <t>[1.148169624968432]</t>
  </si>
  <si>
    <t>[0.010460251046025104]</t>
  </si>
  <si>
    <t>[0.45083682008368203]</t>
  </si>
  <si>
    <t>[2.364600916742347]</t>
  </si>
  <si>
    <t>[-0.2907949790794979, -0.26359832635983266]</t>
  </si>
  <si>
    <t>[0.0397489539748954, 0.027196652719665274]</t>
  </si>
  <si>
    <t>[1.3129228332545608, 1.8296743333339691]</t>
  </si>
  <si>
    <t>[0.20292887029288703, 0.22071129707112971]</t>
  </si>
  <si>
    <t>[-0.11297071129707113, -0.1202928870292887]</t>
  </si>
  <si>
    <t>[1.231173500069417, 1.7644860417349264]</t>
  </si>
  <si>
    <t>[-0.01882845188284519]</t>
  </si>
  <si>
    <t>[1.0465551249217242]</t>
  </si>
  <si>
    <t>[-0.3786610878661088]</t>
  </si>
  <si>
    <t>[1.314839416765608]</t>
  </si>
  <si>
    <t>[0.3274058577405858]</t>
  </si>
  <si>
    <t>[0.47175732217573224]</t>
  </si>
  <si>
    <t>[1.5627637082943693]</t>
  </si>
  <si>
    <t>[0.39644351464435146]</t>
  </si>
  <si>
    <t>[0.100418410041841]</t>
  </si>
  <si>
    <t>[0.8632467499701306]</t>
  </si>
  <si>
    <t>[-0.303347280334728, -0.29497907949790797]</t>
  </si>
  <si>
    <t>[0.21338912133891214, 0.21338912133891214]</t>
  </si>
  <si>
    <t>[1.1978855832712725, 1.8144617916550487]</t>
  </si>
  <si>
    <t>[-0.3619246861924686, -0.37656903765690375]</t>
  </si>
  <si>
    <t>[-0.1412133891213389, -0.1412133891213389]</t>
  </si>
  <si>
    <t>[1.2325270833680406, 1.7491274167550728]</t>
  </si>
  <si>
    <t>[0.2688284518828452]</t>
  </si>
  <si>
    <t>[0.0596234309623431]</t>
  </si>
  <si>
    <t>[1.3645532083464786]</t>
  </si>
  <si>
    <t>[0.46129707112970714]</t>
  </si>
  <si>
    <t>[1.0145844999933615]</t>
  </si>
  <si>
    <t>[1.5133193749934435]</t>
  </si>
  <si>
    <t>[0.06485355648535565]</t>
  </si>
  <si>
    <t>[1.8647065417608246]</t>
  </si>
  <si>
    <t>[1.2980149165960029]</t>
  </si>
  <si>
    <t>[-0.29811715481171547]</t>
  </si>
  <si>
    <t>[1.0645470416639]</t>
  </si>
  <si>
    <t>[0.12238493723849372]</t>
  </si>
  <si>
    <t>[1.3315244999248534]</t>
  </si>
  <si>
    <t>[0.2594142259414226]</t>
  </si>
  <si>
    <t>[1.0964110000059009]</t>
  </si>
  <si>
    <t>[1.1128237916855142]</t>
  </si>
  <si>
    <t>[0.4707112970711297]</t>
  </si>
  <si>
    <t>[-0.11192468619246862]</t>
  </si>
  <si>
    <t>[1.546004333300516]</t>
  </si>
  <si>
    <t>[-0.4989539748953975]</t>
  </si>
  <si>
    <t>[0.05439330543933055]</t>
  </si>
  <si>
    <t>[1.3800002499483526]</t>
  </si>
  <si>
    <t>[0.006276150627615063]</t>
  </si>
  <si>
    <t>[1.4146068749250844]</t>
  </si>
  <si>
    <t>[1.2132296250201762]</t>
  </si>
  <si>
    <t>[0.34205020920502094]</t>
  </si>
  <si>
    <t>[0.4309623430962343]</t>
  </si>
  <si>
    <t>[1.1293908749939874]</t>
  </si>
  <si>
    <t>[-0.16108786610878661]</t>
  </si>
  <si>
    <t>[1.5816286667250097]</t>
  </si>
  <si>
    <t>[-0.32112970711297073]</t>
  </si>
  <si>
    <t>[0.3106694560669456]</t>
  </si>
  <si>
    <t>[1.4797635832801461]</t>
  </si>
  <si>
    <t>[1.2645343750482425]</t>
  </si>
  <si>
    <t>[0.2186192468619247]</t>
  </si>
  <si>
    <t>[2.329811833333224]</t>
  </si>
  <si>
    <t>[1.446325125056319]</t>
  </si>
  <si>
    <t>[0.053347280334728034]</t>
  </si>
  <si>
    <t>[0.4445606694560669]</t>
  </si>
  <si>
    <t>[1.8296251250430942]</t>
  </si>
  <si>
    <t>[-0.17468619246861924]</t>
  </si>
  <si>
    <t>[1.3961738334037364]</t>
  </si>
  <si>
    <t>[0.4989539748953975]</t>
  </si>
  <si>
    <t>[-0.21548117154811716]</t>
  </si>
  <si>
    <t>[3.0633905000286177]</t>
  </si>
  <si>
    <t>[-0.4435146443514644]</t>
  </si>
  <si>
    <t>[0.3786610878661088]</t>
  </si>
  <si>
    <t>[1.779683708329685]</t>
  </si>
  <si>
    <t>[-0.4361924686192469]</t>
  </si>
  <si>
    <t>[1.0811947917100042]</t>
  </si>
  <si>
    <t>[-0.051255230125523014, -0.04602510460251046]</t>
  </si>
  <si>
    <t>[-0.04184100418410042, -0.04811715481171548]</t>
  </si>
  <si>
    <t>[1.5481328333262354, 2.064631500048563]</t>
  </si>
  <si>
    <t>[-0.40585774058577406]</t>
  </si>
  <si>
    <t>[-0.1579497907949791]</t>
  </si>
  <si>
    <t>[1.8466019583866]</t>
  </si>
  <si>
    <t>[0.4884937238493724]</t>
  </si>
  <si>
    <t>[1.1297588750021532]</t>
  </si>
  <si>
    <t>[0.4205020920502092]</t>
  </si>
  <si>
    <t>[-0.30962343096234307]</t>
  </si>
  <si>
    <t>[1.0965185416862369]</t>
  </si>
  <si>
    <t>[2.946402250090614]</t>
  </si>
  <si>
    <t>[1.529926749994047]</t>
  </si>
  <si>
    <t>[-0.4905857740585774]</t>
  </si>
  <si>
    <t>[-0.16527196652719664]</t>
  </si>
  <si>
    <t>[1.4797145833726972]</t>
  </si>
  <si>
    <t>[1.1647185833426192]</t>
  </si>
  <si>
    <t>[-0.0031380753138075313]</t>
  </si>
  <si>
    <t>[1.081302750040777]</t>
  </si>
  <si>
    <t>[0.26464435146443516]</t>
  </si>
  <si>
    <t>[0.1600418410041841]</t>
  </si>
  <si>
    <t>[1.264872333384119]</t>
  </si>
  <si>
    <t>[0.49581589958158995]</t>
  </si>
  <si>
    <t>[-0.08786610878661087]</t>
  </si>
  <si>
    <t>[1.2645846667001024]</t>
  </si>
  <si>
    <t>[0.021966527196652718]</t>
  </si>
  <si>
    <t>[1.5465812083566561]</t>
  </si>
  <si>
    <t>[1.7631330416770652]</t>
  </si>
  <si>
    <t>[0.4686192468619247]</t>
  </si>
  <si>
    <t>[1.898275125073269]</t>
  </si>
  <si>
    <t>[-0.10146443514644352]</t>
  </si>
  <si>
    <t>[0.1307531380753138]</t>
  </si>
  <si>
    <t>[1.0474021249683574]</t>
  </si>
  <si>
    <t>[1.3462733749765903]</t>
  </si>
  <si>
    <t>[-0.24372384937238495]</t>
  </si>
  <si>
    <t>[1.3480813750065863]</t>
  </si>
  <si>
    <t>[-0.446652719665272]</t>
  </si>
  <si>
    <t>[0.14958158995815898]</t>
  </si>
  <si>
    <t>[1.4310885834274814]</t>
  </si>
  <si>
    <t>[0.3797071129707113, 0.39644351464435146]</t>
  </si>
  <si>
    <t>[0.4299163179916318, 0.4299163179916318]</t>
  </si>
  <si>
    <t>[1.1814801666187122, 1.5978109167190269]</t>
  </si>
  <si>
    <t>[-0.45502092050209203]</t>
  </si>
  <si>
    <t>[1.2818383333506063]</t>
  </si>
  <si>
    <t>[-0.3891213389121339]</t>
  </si>
  <si>
    <t>[1.3812594166956842]</t>
  </si>
  <si>
    <t>[-0.17154811715481172]</t>
  </si>
  <si>
    <t>[0.9313487500185147]</t>
  </si>
  <si>
    <t>[0.9966450000647455]</t>
  </si>
  <si>
    <t>[0.3389121338912134]</t>
  </si>
  <si>
    <t>[1.6980024583172053]</t>
  </si>
  <si>
    <t>[1.2461721666622907]</t>
  </si>
  <si>
    <t>[0.1108786610878661]</t>
  </si>
  <si>
    <t>[1.7813625000417233]</t>
  </si>
  <si>
    <t>[0.16317991631799164]</t>
  </si>
  <si>
    <t>[-0.22489539748953974]</t>
  </si>
  <si>
    <t>[1.2148060833569616]</t>
  </si>
  <si>
    <t>[1.163241708301939]</t>
  </si>
  <si>
    <t>[0.23117154811715482]</t>
  </si>
  <si>
    <t>[-0.22384937238493724]</t>
  </si>
  <si>
    <t>[1.19778100005351]</t>
  </si>
  <si>
    <t>[-0.34623430962343094]</t>
  </si>
  <si>
    <t>[0.0020920502092050207]</t>
  </si>
  <si>
    <t>[1.0646469166968018]</t>
  </si>
  <si>
    <t>[-0.4801255230125523]</t>
  </si>
  <si>
    <t>[0.446652719665272]</t>
  </si>
  <si>
    <t>[1.446231749956496]</t>
  </si>
  <si>
    <t>[-0.4884937238493724]</t>
  </si>
  <si>
    <t>[1.364847999997437]</t>
  </si>
  <si>
    <t>[-0.3577405857740586]</t>
  </si>
  <si>
    <t>[1.1147302499739453]</t>
  </si>
  <si>
    <t>[0.33263598326359833]</t>
  </si>
  <si>
    <t>[-0.3692468619246862]</t>
  </si>
  <si>
    <t>[1.1148689999245107]</t>
  </si>
  <si>
    <t>[-0.060669456066945605]</t>
  </si>
  <si>
    <t>[1.3295532916672528]</t>
  </si>
  <si>
    <t>[-0.2594142259414226]</t>
  </si>
  <si>
    <t>[0.8632651249645278]</t>
  </si>
  <si>
    <t>[-0.18514644351464435]</t>
  </si>
  <si>
    <t>[-0.2688284518828452]</t>
  </si>
  <si>
    <t>[1.5480222917394713]</t>
  </si>
  <si>
    <t>[1.3630190416006371]</t>
  </si>
  <si>
    <t>[1.3297040415927768]</t>
  </si>
  <si>
    <t>[0.1087866108786611, 0.10564853556485355]</t>
  </si>
  <si>
    <t>[0.17364016736401675, 0.1903765690376569]</t>
  </si>
  <si>
    <t>[0.9632063750177622, 1.6131491666892543]</t>
  </si>
  <si>
    <t>[-0.1589958158995816]</t>
  </si>
  <si>
    <t>[1.112681791651994]</t>
  </si>
  <si>
    <t>[0.20502092050209206]</t>
  </si>
  <si>
    <t>[1.1632165833143517]</t>
  </si>
  <si>
    <t>[1.346200208296068]</t>
  </si>
  <si>
    <t>[0.2395397489539749]</t>
  </si>
  <si>
    <t>[0.01882845188284519]</t>
  </si>
  <si>
    <t>[0.963203166727908]</t>
  </si>
  <si>
    <t>[-0.2834728033472803]</t>
  </si>
  <si>
    <t>[-0.24267782426778242]</t>
  </si>
  <si>
    <t>[1.4963050000369549]</t>
  </si>
  <si>
    <t>[1.5465528749627993]</t>
  </si>
  <si>
    <t>[0.09205020920502092]</t>
  </si>
  <si>
    <t>[-0.4372384937238494]</t>
  </si>
  <si>
    <t>[1.3645140416920185]</t>
  </si>
  <si>
    <t>[0.35355648535564854]</t>
  </si>
  <si>
    <t>[1.514785583363846]</t>
  </si>
  <si>
    <t>[1.262881041620858]</t>
  </si>
  <si>
    <t>[0.09832635983263599]</t>
  </si>
  <si>
    <t>[2.029568333295174]</t>
  </si>
  <si>
    <t>[-0.4131799163179916]</t>
  </si>
  <si>
    <t>[1.6151016249787062]</t>
  </si>
  <si>
    <t>[0.17573221757322174]</t>
  </si>
  <si>
    <t>[1.6810372499749064]</t>
  </si>
  <si>
    <t>[0.27719665271966526]</t>
  </si>
  <si>
    <t>[1.7314615000505]</t>
  </si>
  <si>
    <t>[0.2939330543933054, 0.22384937238493724]</t>
  </si>
  <si>
    <t>[-0.11506276150627615, 0.07531380753138076]</t>
  </si>
  <si>
    <t>[1.5629767084028572, 2.612977583426982]</t>
  </si>
  <si>
    <t>[1.7632493333658203]</t>
  </si>
  <si>
    <t>[0.2217573221757322]</t>
  </si>
  <si>
    <t>[-0.4811715481171548]</t>
  </si>
  <si>
    <t>[1.2314173750346527]</t>
  </si>
  <si>
    <t>[-0.23117154811715482]</t>
  </si>
  <si>
    <t>[1.8810701667098328]</t>
  </si>
  <si>
    <t>[-0.41422594142259417]</t>
  </si>
  <si>
    <t>[1.2130824166815728]</t>
  </si>
  <si>
    <t>[0.4905857740585774]</t>
  </si>
  <si>
    <t>[1.4630434999708086]</t>
  </si>
  <si>
    <t>[2.0626825833460316]</t>
  </si>
  <si>
    <t>[-0.3002092050209205]</t>
  </si>
  <si>
    <t>[2.5799300416838378]</t>
  </si>
  <si>
    <t>[-0.45083682008368203]</t>
  </si>
  <si>
    <t>[-0.3378661087866109]</t>
  </si>
  <si>
    <t>[1.4316297083860263]</t>
  </si>
  <si>
    <t>[1.5810990000609308]</t>
  </si>
  <si>
    <t>[-0.07426778242677824]</t>
  </si>
  <si>
    <t>[0.12552301255230125]</t>
  </si>
  <si>
    <t>[1.0629962916718796]</t>
  </si>
  <si>
    <t>[-0.08682008368200837, -0.06171548117154812]</t>
  </si>
  <si>
    <t>[-0.4581589958158996, -0.44142259414225943]</t>
  </si>
  <si>
    <t>[1.2978523750789464, 1.9476903750328347]</t>
  </si>
  <si>
    <t>[-0.3179916317991632]</t>
  </si>
  <si>
    <t>[1.1983270833734423]</t>
  </si>
  <si>
    <t>[0.0397489539748954]</t>
  </si>
  <si>
    <t>[1.0479181666160002]</t>
  </si>
  <si>
    <t>[-0.39330543933054396]</t>
  </si>
  <si>
    <t>[-0.3368200836820084]</t>
  </si>
  <si>
    <t>[2.0796309165889397]</t>
  </si>
  <si>
    <t>[-0.2730125523012552]</t>
  </si>
  <si>
    <t>[1.298237666604109]</t>
  </si>
  <si>
    <t>[1.1645839583361521]</t>
  </si>
  <si>
    <t>[-0.4696652719665272, -0.4811715481171548]</t>
  </si>
  <si>
    <t>[-0.13389121338912133, -0.12447698744769875]</t>
  </si>
  <si>
    <t>[1.3295465416740626, 2.1628882499644533]</t>
  </si>
  <si>
    <t>[-0.23326359832635984]</t>
  </si>
  <si>
    <t>[1.229878666694276]</t>
  </si>
  <si>
    <t>[-0.15585774058577406]</t>
  </si>
  <si>
    <t>[2.4147419999353588]</t>
  </si>
  <si>
    <t>[-0.3817991631799163]</t>
  </si>
  <si>
    <t>[1.614860541652888]</t>
  </si>
  <si>
    <t>[0.28765690376569036]</t>
  </si>
  <si>
    <t>[1.546274916618131]</t>
  </si>
  <si>
    <t>[1.8313578749075532]</t>
  </si>
  <si>
    <t>[0.42782426778242677]</t>
  </si>
  <si>
    <t>[1.3146782499970868]</t>
  </si>
  <si>
    <t>[0.41631799163179917]</t>
  </si>
  <si>
    <t>[1.1312894999282435]</t>
  </si>
  <si>
    <t>[-0.12866108786610878]</t>
  </si>
  <si>
    <t>[2.1467074167449027]</t>
  </si>
  <si>
    <t>[-0.2897489539748954]</t>
  </si>
  <si>
    <t>[0.48430962343096234]</t>
  </si>
  <si>
    <t>[1.4981603333726525]</t>
  </si>
  <si>
    <t>[1.381452583358623]</t>
  </si>
  <si>
    <t>[0.37656903765690375]</t>
  </si>
  <si>
    <t>[1.1295349166030064]</t>
  </si>
  <si>
    <t>[0.27824267782426776]</t>
  </si>
  <si>
    <t>[1.1629124582977965]</t>
  </si>
  <si>
    <t>[0.36401673640167365]</t>
  </si>
  <si>
    <t>[1.3144921250641346]</t>
  </si>
  <si>
    <t>[0.1903765690376569]</t>
  </si>
  <si>
    <t>[0.9811979166697711]</t>
  </si>
  <si>
    <t>[-0.2489539748953975]</t>
  </si>
  <si>
    <t>[1.0800004584016278]</t>
  </si>
  <si>
    <t>[-0.14853556485355648]</t>
  </si>
  <si>
    <t>[1.0630342917283997]</t>
  </si>
  <si>
    <t>[0.21234309623430964]</t>
  </si>
  <si>
    <t>[-0.40794979079497906]</t>
  </si>
  <si>
    <t>[1.6479555832920596]</t>
  </si>
  <si>
    <t>[-0.28870292887029286]</t>
  </si>
  <si>
    <t>[1.7462227917276323]</t>
  </si>
  <si>
    <t>[-0.48640167364016734]</t>
  </si>
  <si>
    <t>[-0.0198744769874477]</t>
  </si>
  <si>
    <t>[1.5635414166608825]</t>
  </si>
  <si>
    <t>[-0.013598326359832637]</t>
  </si>
  <si>
    <t>[0.4372384937238494]</t>
  </si>
  <si>
    <t>[1.5795846250839531]</t>
  </si>
  <si>
    <t>[0.3901673640167364]</t>
  </si>
  <si>
    <t>[-0.19351464435146443]</t>
  </si>
  <si>
    <t>[1.1813992082607]</t>
  </si>
  <si>
    <t>[1.281436208402738]</t>
  </si>
  <si>
    <t>[-0.4027196652719665]</t>
  </si>
  <si>
    <t>[-0.2290794979079498]</t>
  </si>
  <si>
    <t>[1.3479821250075474]</t>
  </si>
  <si>
    <t>[-0.1997907949790795]</t>
  </si>
  <si>
    <t>[0.23221757322175732]</t>
  </si>
  <si>
    <t>[1.9487372082658112]</t>
  </si>
  <si>
    <t>[-0.2196652719665272]</t>
  </si>
  <si>
    <t>[1.0639924999559298]</t>
  </si>
  <si>
    <t>[0.45397489539748953, 0.41736401673640167, 0.4351464435146444]</t>
  </si>
  <si>
    <t>[0.4874476987447699, 0.4905857740585774, 0.4905857740585774]</t>
  </si>
  <si>
    <t>[None, None, 'target']</t>
  </si>
  <si>
    <t>[1.5632447500247508, 2.8133218749426305, 3.3295040000230074]</t>
  </si>
  <si>
    <t>[1.1631392083363608]</t>
  </si>
  <si>
    <t>[2.4963407500181347]</t>
  </si>
  <si>
    <t>[0.3378661087866109]</t>
  </si>
  <si>
    <t>[1.0628453332465142]</t>
  </si>
  <si>
    <t>[0.3200836820083682]</t>
  </si>
  <si>
    <t>[-0.051255230125523014]</t>
  </si>
  <si>
    <t>[1.2983451667241752]</t>
  </si>
  <si>
    <t>[-0.3807531380753138]</t>
  </si>
  <si>
    <t>[0.2405857740585774]</t>
  </si>
  <si>
    <t>[1.629775125067681]</t>
  </si>
  <si>
    <t>[0.49686192468619245]</t>
  </si>
  <si>
    <t>[1.1310036249924451]</t>
  </si>
  <si>
    <t>[1.1815767916850746]</t>
  </si>
  <si>
    <t>[1.1979069999651983]</t>
  </si>
  <si>
    <t>[1.448199583333917]</t>
  </si>
  <si>
    <t>[0.2897489539748954]</t>
  </si>
  <si>
    <t>[2.3463451249990612]</t>
  </si>
  <si>
    <t>[0.0502092050209205]</t>
  </si>
  <si>
    <t>[1.3814769166056067]</t>
  </si>
  <si>
    <t>[0.3054393305439331]</t>
  </si>
  <si>
    <t>[1.529786291765049]</t>
  </si>
  <si>
    <t>[0.051255230125523014]</t>
  </si>
  <si>
    <t>[-0.20606694560669456]</t>
  </si>
  <si>
    <t>[1.5978765833424404]</t>
  </si>
  <si>
    <t>[0.3368200836820084]</t>
  </si>
  <si>
    <t>[1.447075166623108]</t>
  </si>
  <si>
    <t>[0.04079497907949791]</t>
  </si>
  <si>
    <t>[1.2307545833755285]</t>
  </si>
  <si>
    <t>[0.22489539748953974]</t>
  </si>
  <si>
    <t>[0.043933054393305436]</t>
  </si>
  <si>
    <t>[2.0464797500753775]</t>
  </si>
  <si>
    <t>[0.41841004184100417]</t>
  </si>
  <si>
    <t>[1.2812424583826214]</t>
  </si>
  <si>
    <t>[0.05230125523012552]</t>
  </si>
  <si>
    <t>[1.9633044583024457]</t>
  </si>
  <si>
    <t>[-0.034518828451882845]</t>
  </si>
  <si>
    <t>[0.4382845188284519]</t>
  </si>
  <si>
    <t>[2.8957791667198762]</t>
  </si>
  <si>
    <t>[0.3891213389121339]</t>
  </si>
  <si>
    <t>[1.2148874583654106]</t>
  </si>
  <si>
    <t>[-0.4874476987447699]</t>
  </si>
  <si>
    <t>[-0.1799163179916318]</t>
  </si>
  <si>
    <t>[2.412768083391711]</t>
  </si>
  <si>
    <t>[1.6130191249540076]</t>
  </si>
  <si>
    <t>[-0.20292887029288703]</t>
  </si>
  <si>
    <t>[-0.13389121338912133]</t>
  </si>
  <si>
    <t>[1.2980384583352134]</t>
  </si>
  <si>
    <t>[1.2146399166667834]</t>
  </si>
  <si>
    <t>[0.8148604166926816]</t>
  </si>
  <si>
    <t>[-0.16736401673640167]</t>
  </si>
  <si>
    <t>[0.40690376569037656]</t>
  </si>
  <si>
    <t>[1.8145613750675693]</t>
  </si>
  <si>
    <t>[-0.038702928870292884]</t>
  </si>
  <si>
    <t>[-0.2918410041841004]</t>
  </si>
  <si>
    <t>[1.3645430833566934]</t>
  </si>
  <si>
    <t>[-0.1087866108786611]</t>
  </si>
  <si>
    <t>[1.6462094583548605]</t>
  </si>
  <si>
    <t>VS1</t>
  </si>
  <si>
    <t>[-0.33263598326359833]</t>
  </si>
  <si>
    <t>[-0.28765690376569036]</t>
  </si>
  <si>
    <t>[2.108301416737959]</t>
  </si>
  <si>
    <t>[-0.4497907949790795]</t>
  </si>
  <si>
    <t>[1.1089952082838863]</t>
  </si>
  <si>
    <t>[-0.151673640167364]</t>
  </si>
  <si>
    <t>[1.3134132915874943]</t>
  </si>
  <si>
    <t>[1.1952527499524876]</t>
  </si>
  <si>
    <t>[0.012552301255230125]</t>
  </si>
  <si>
    <t>[1.0775941666215658]</t>
  </si>
  <si>
    <t>[0.18723849372384938]</t>
  </si>
  <si>
    <t>[1.2454052499961108]</t>
  </si>
  <si>
    <t>[0.34205020920502094, 0.36506276150627615]</t>
  </si>
  <si>
    <t>[-0.38598326359832635, -0.38389121338912136]</t>
  </si>
  <si>
    <t>[1.1959169167093933, 2.2299923750106245]</t>
  </si>
  <si>
    <t>[1.940279999980703]</t>
  </si>
  <si>
    <t>[1.07494316669181]</t>
  </si>
  <si>
    <t>[1.1853965417249128]</t>
  </si>
  <si>
    <t>[0.9900560833048075]</t>
  </si>
  <si>
    <t>[1.8254823751049116]</t>
  </si>
  <si>
    <t>[-0.28556485355648537]</t>
  </si>
  <si>
    <t>[1.044394375057891]</t>
  </si>
  <si>
    <t>[0.2730125523012552]</t>
  </si>
  <si>
    <t>[2.4533670416567475]</t>
  </si>
  <si>
    <t>[-0.05543933054393305]</t>
  </si>
  <si>
    <t>[1.525313875055872]</t>
  </si>
  <si>
    <t>[-0.41736401673640167]</t>
  </si>
  <si>
    <t>[-0.3117154811715481]</t>
  </si>
  <si>
    <t>[1.387030666694045]</t>
  </si>
  <si>
    <t>[0.5031380753138075]</t>
  </si>
  <si>
    <t>[2.0552544166566804]</t>
  </si>
  <si>
    <t>[2.15411579166539]</t>
  </si>
  <si>
    <t>[2.1404090833384544]</t>
  </si>
  <si>
    <t>[0.3723849372384937, 0.3472803347280335]</t>
  </si>
  <si>
    <t>[0.0700836820083682, 0.0700836820083682]</t>
  </si>
  <si>
    <t>[1.069039291702211, 1.8184972499730065]</t>
  </si>
  <si>
    <t>[0.14225941422594143]</t>
  </si>
  <si>
    <t>[-0.08682008368200837]</t>
  </si>
  <si>
    <t>[2.410181208397262]</t>
  </si>
  <si>
    <t>[0.0031380753138075313]</t>
  </si>
  <si>
    <t>[-0.3410041841004184]</t>
  </si>
  <si>
    <t>[1.3114276666892692]</t>
  </si>
  <si>
    <t>[-0.11297071129707113]</t>
  </si>
  <si>
    <t>[2.086870374972932]</t>
  </si>
  <si>
    <t>[0.10355648535564854, 0.0899581589958159]</t>
  </si>
  <si>
    <t>[-0.3786610878661088, -0.3797071129707113]</t>
  </si>
  <si>
    <t>[1.39366250007879, 2.14253791666124]</t>
  </si>
  <si>
    <t>[0.3682008368200837]</t>
  </si>
  <si>
    <t>[1.3298029582947493]</t>
  </si>
  <si>
    <t>[0.5083682008368201]</t>
  </si>
  <si>
    <t>[1.9193788333795965]</t>
  </si>
  <si>
    <t>[0.4780334728033473]</t>
  </si>
  <si>
    <t>[3.3630854999646544]</t>
  </si>
  <si>
    <t>[0.04602510460251046]</t>
  </si>
  <si>
    <t>[1.037377916625701]</t>
  </si>
  <si>
    <t>[-0.20397489539748953, -0.21548117154811716]</t>
  </si>
  <si>
    <t>[-0.18723849372384938, -0.1694560669456067]</t>
  </si>
  <si>
    <t>[2.2431307083461434, 2.992522916640155]</t>
  </si>
  <si>
    <t>[1.6061699165729806]</t>
  </si>
  <si>
    <t>[0.19456066945606695]</t>
  </si>
  <si>
    <t>[0.9093285000417382]</t>
  </si>
  <si>
    <t>[1.1226961250649765]</t>
  </si>
  <si>
    <t>[1.1369395833462477]</t>
  </si>
  <si>
    <t>[1.5101281249662861]</t>
  </si>
  <si>
    <t>[0.23535564853556484]</t>
  </si>
  <si>
    <t>[-0.21338912133891214]</t>
  </si>
  <si>
    <t>[1.5368639583466575]</t>
  </si>
  <si>
    <t>[0.37343096234309625]</t>
  </si>
  <si>
    <t>[1.077259875019081]</t>
  </si>
  <si>
    <t>[-0.20188284518828453]</t>
  </si>
  <si>
    <t>[-0.23535564853556484]</t>
  </si>
  <si>
    <t>[1.209711541654542]</t>
  </si>
  <si>
    <t>[0.21338912133891214, 0.2290794979079498]</t>
  </si>
  <si>
    <t>[-0.23117154811715482, -0.25]</t>
  </si>
  <si>
    <t>[1.0775522083276883, 1.6610549583565444]</t>
  </si>
  <si>
    <t>[0.45502092050209203, 0.46129707112970714, 0.48535564853556484]</t>
  </si>
  <si>
    <t>[-0.05753138075313807, -0.07217573221757322, -0.08054393305439331]</t>
  </si>
  <si>
    <t>[1.2736081250477582, 1.9401204166933894, 3.2066224167356268]</t>
  </si>
  <si>
    <t>[0.060669456066945605]</t>
  </si>
  <si>
    <t>[1.5201502500567585]</t>
  </si>
  <si>
    <t>[0.50418410041841]</t>
  </si>
  <si>
    <t>[2.2222585832932964]</t>
  </si>
  <si>
    <t>[0.36297071129707115]</t>
  </si>
  <si>
    <t>[1.0384890416171402]</t>
  </si>
  <si>
    <t>[0.17154811715481172]</t>
  </si>
  <si>
    <t>[1.610782291740179]</t>
  </si>
  <si>
    <t>[1.0944146666442975]</t>
  </si>
  <si>
    <t>[0.2625523012552301]</t>
  </si>
  <si>
    <t>[1.026427875040099]</t>
  </si>
  <si>
    <t>[-0.14958158995815898, -0.09728033472803348]</t>
  </si>
  <si>
    <t>[0.26778242677824265, 0.2384937238493724]</t>
  </si>
  <si>
    <t>[1.7703968749847263, 2.5034515416482463]</t>
  </si>
  <si>
    <t>[0.015690376569037656]</t>
  </si>
  <si>
    <t>[-0.1903765690376569]</t>
  </si>
  <si>
    <t>[1.3928891667164862]</t>
  </si>
  <si>
    <t>[1.143542333273217]</t>
  </si>
  <si>
    <t>[0.0010460251046025104, 0.0, -0.1401673640167364]</t>
  </si>
  <si>
    <t>[-0.0041841004184100415, 0.03138075313807531, -0.04602510460251046]</t>
  </si>
  <si>
    <t>[2.630780291627161, 3.4132804583059624, 4.330522874952294]</t>
  </si>
  <si>
    <t>[-0.26673640167364016]</t>
  </si>
  <si>
    <t>[1.408648708369583]</t>
  </si>
  <si>
    <t>[0.09623430962343096]</t>
  </si>
  <si>
    <t>[1.1794157082913443]</t>
  </si>
  <si>
    <t>[0.005230125523012552]</t>
  </si>
  <si>
    <t>[0.3148535564853556]</t>
  </si>
  <si>
    <t>[1.4293228749884292]</t>
  </si>
  <si>
    <t>[-0.17573221757322174, -0.15585774058577406]</t>
  </si>
  <si>
    <t>[-0.2730125523012552, -0.26359832635983266]</t>
  </si>
  <si>
    <t>[1.4301182084018365, 4.496482999995351]</t>
  </si>
  <si>
    <t>[1.3291368333157152]</t>
  </si>
  <si>
    <t>[0.16108786610878661]</t>
  </si>
  <si>
    <t>[1.6794785832753405]</t>
  </si>
  <si>
    <t>[-0.3985355648535565]</t>
  </si>
  <si>
    <t>[1.1295621666358784]</t>
  </si>
  <si>
    <t>[-0.07426778242677824, -0.049163179916317995]</t>
  </si>
  <si>
    <t>[-0.39435146443514646, -0.38598326359832635]</t>
  </si>
  <si>
    <t>[2.9452354584354907, 3.911850000033155]</t>
  </si>
  <si>
    <t>[-0.32217573221757323]</t>
  </si>
  <si>
    <t>[-0.42887029288702927]</t>
  </si>
  <si>
    <t>[1.3264604583382607]</t>
  </si>
  <si>
    <t>[0.40794979079497906]</t>
  </si>
  <si>
    <t>[1.8421300833579153]</t>
  </si>
  <si>
    <t>[0.38598326359832635]</t>
  </si>
  <si>
    <t>[0.0198744769874477]</t>
  </si>
  <si>
    <t>[0.896272916579619]</t>
  </si>
  <si>
    <t>[-0.14644351464435146]</t>
  </si>
  <si>
    <t>[1.3037416250444949]</t>
  </si>
  <si>
    <t>[-0.2813807531380753]</t>
  </si>
  <si>
    <t>[1.0083988333353773]</t>
  </si>
  <si>
    <t>[1.129533666651696]</t>
  </si>
  <si>
    <t>[1.6962574166245759]</t>
  </si>
  <si>
    <t>[0.13702928870292888]</t>
  </si>
  <si>
    <t>[1.1426707915961742]</t>
  </si>
  <si>
    <t>[0.09205020920502092, 0.10564853556485355]</t>
  </si>
  <si>
    <t>[-0.12447698744769875, -0.12761506276150628]</t>
  </si>
  <si>
    <t>[0.9086170416558161, 1.507668000063859]</t>
  </si>
  <si>
    <t>[1.7771649167407304]</t>
  </si>
  <si>
    <t>[-0.4320083682008368]</t>
  </si>
  <si>
    <t>[-0.1297071129707113]</t>
  </si>
  <si>
    <t>[1.591450083302334]</t>
  </si>
  <si>
    <t>[1.4093984583159909]</t>
  </si>
  <si>
    <t>[0.02510460251046025]</t>
  </si>
  <si>
    <t>[0.20292887029288703]</t>
  </si>
  <si>
    <t>[2.3703206250211224]</t>
  </si>
  <si>
    <t>[0.25523012552301255]</t>
  </si>
  <si>
    <t>[1.4102564167696983]</t>
  </si>
  <si>
    <t>[1.187111166655086]</t>
  </si>
  <si>
    <t>[0.1579497907949791]</t>
  </si>
  <si>
    <t>[1.7260505000595003]</t>
  </si>
  <si>
    <t>[-0.3608786610878661]</t>
  </si>
  <si>
    <t>[1.6230138333048671]</t>
  </si>
  <si>
    <t>[1.3394865416921675]</t>
  </si>
  <si>
    <t>[1.3106282083317637]</t>
  </si>
  <si>
    <t>[1.3731513749808073]</t>
  </si>
  <si>
    <t>[0.11297071129707113]</t>
  </si>
  <si>
    <t>[1.3045169583056122]</t>
  </si>
  <si>
    <t>[0.38284518828451886]</t>
  </si>
  <si>
    <t>[1.242494250065647]</t>
  </si>
  <si>
    <t>[-0.29497907949790797]</t>
  </si>
  <si>
    <t>[1.7711697499034926]</t>
  </si>
  <si>
    <t>[0.29811715481171547]</t>
  </si>
  <si>
    <t>[1.6221132500795648]</t>
  </si>
  <si>
    <t>[1.5249492082512006]</t>
  </si>
  <si>
    <t>[0.16736401673640167]</t>
  </si>
  <si>
    <t>[1.5380677916109562]</t>
  </si>
  <si>
    <t>[-0.0794979079497908]</t>
  </si>
  <si>
    <t>[0.3608786610878661]</t>
  </si>
  <si>
    <t>[1.376061875023879]</t>
  </si>
  <si>
    <t>[-0.4790794979079498]</t>
  </si>
  <si>
    <t>[2.1095509582664818]</t>
  </si>
  <si>
    <t>[0.4351464435146444]</t>
  </si>
  <si>
    <t>[2.725674625020474]</t>
  </si>
  <si>
    <t>[-0.49372384937238495]</t>
  </si>
  <si>
    <t>[1.7043319583171979]</t>
  </si>
  <si>
    <t>[2.670525500085205]</t>
  </si>
  <si>
    <t>[2.320105208316818]</t>
  </si>
  <si>
    <t>[0.0010460251046025104]</t>
  </si>
  <si>
    <t>[-0.25]</t>
  </si>
  <si>
    <t>[1.7939297500997782]</t>
  </si>
  <si>
    <t>[1.6630357917165384]</t>
  </si>
  <si>
    <t>[0.2709205020920502]</t>
  </si>
  <si>
    <t>[1.0300712917232886]</t>
  </si>
  <si>
    <t>[0.38702928870292885, 0.4006276150627615]</t>
  </si>
  <si>
    <t>[-0.22594142259414227, -0.19665271966527198]</t>
  </si>
  <si>
    <t>[1.5764297917485237, 2.276109291706234]</t>
  </si>
  <si>
    <t>[0.3493723849372385]</t>
  </si>
  <si>
    <t>[0.3723849372384937]</t>
  </si>
  <si>
    <t>[2.7121379582677037]</t>
  </si>
  <si>
    <t>[2.760218166629784]</t>
  </si>
  <si>
    <t>[1.26285800000187]</t>
  </si>
  <si>
    <t>[1.3973310000728816]</t>
  </si>
  <si>
    <t>[0.23744769874476987]</t>
  </si>
  <si>
    <t>[0.9076755415881053]</t>
  </si>
  <si>
    <t>[0.200836820083682]</t>
  </si>
  <si>
    <t>[1.0793437083484605]</t>
  </si>
  <si>
    <t>[1.0127995416987687]</t>
  </si>
  <si>
    <t>[1.2270984166534618]</t>
  </si>
  <si>
    <t>[-0.11401673640167365]</t>
  </si>
  <si>
    <t>[1.030596625059843]</t>
  </si>
  <si>
    <t>[-0.3138075313807531]</t>
  </si>
  <si>
    <t>[1.0457211249740794]</t>
  </si>
  <si>
    <t>[0.21652719665271966]</t>
  </si>
  <si>
    <t>[1.0638352499809116]</t>
  </si>
  <si>
    <t>[1.4953807917190716]</t>
  </si>
  <si>
    <t>[0.08682008368200837]</t>
  </si>
  <si>
    <t>[1.8472278332337737]</t>
  </si>
  <si>
    <t>[0.02405857740585774]</t>
  </si>
  <si>
    <t>[1.3120452084112912]</t>
  </si>
  <si>
    <t>[0.4686192468619247, 0.4393305439330544]</t>
  </si>
  <si>
    <t>[0.4341004184100418, 0.4351464435146444]</t>
  </si>
  <si>
    <t>[1.5410191250266507, 2.174798333318904]</t>
  </si>
  <si>
    <t>[-0.3158995815899582]</t>
  </si>
  <si>
    <t>[1.4959686666261405]</t>
  </si>
  <si>
    <t>[-0.38598326359832635]</t>
  </si>
  <si>
    <t>[-0.252092050209205]</t>
  </si>
  <si>
    <t>[1.5436526249395683]</t>
  </si>
  <si>
    <t>[0.04811715481171548]</t>
  </si>
  <si>
    <t>[0.42887029288702927]</t>
  </si>
  <si>
    <t>[1.697313499986194]</t>
  </si>
  <si>
    <t>[0.2384937238493724]</t>
  </si>
  <si>
    <t>[1.2278985416051]</t>
  </si>
  <si>
    <t>[-0.10564853556485355]</t>
  </si>
  <si>
    <t>[1.2598817499820143]</t>
  </si>
  <si>
    <t>[-0.3127615062761506, -0.3117154811715481]</t>
  </si>
  <si>
    <t>[-0.09100418410041841, -0.09100418410041841]</t>
  </si>
  <si>
    <t>[1.2920364999445155, 1.824925374938175]</t>
  </si>
  <si>
    <t>[1.193282249965705]</t>
  </si>
  <si>
    <t>[0.11820083682008369]</t>
  </si>
  <si>
    <t>[2.3277222499018535]</t>
  </si>
  <si>
    <t>[-0.3127615062761506]</t>
  </si>
  <si>
    <t>[1.9775989999761805]</t>
  </si>
  <si>
    <t>[1.7599444165825844]</t>
  </si>
  <si>
    <t>[0.4246861924686193]</t>
  </si>
  <si>
    <t>[2.176939749973826]</t>
  </si>
  <si>
    <t>[1.5427272917004302]</t>
  </si>
  <si>
    <t>[1.7272439583903179]</t>
  </si>
  <si>
    <t>[1.6293472499819472]</t>
  </si>
  <si>
    <t>[1.3936318333726376]</t>
  </si>
  <si>
    <t>[-0.4006276150627615]</t>
  </si>
  <si>
    <t>[0.20606694560669456]</t>
  </si>
  <si>
    <t>[1.3966715832939371]</t>
  </si>
  <si>
    <t>[1.430173083441332]</t>
  </si>
  <si>
    <t>[-0.03138075313807531]</t>
  </si>
  <si>
    <t>[-0.34205020920502094]</t>
  </si>
  <si>
    <t>[1.4621929583372548]</t>
  </si>
  <si>
    <t>[0.18410041841004185]</t>
  </si>
  <si>
    <t>[1.8459739999379963]</t>
  </si>
  <si>
    <t>[1.2437227083137259]</t>
  </si>
  <si>
    <t>[-0.40690376569037656]</t>
  </si>
  <si>
    <t>[1.9966931665549055]</t>
  </si>
  <si>
    <t>[0.5052301255230126]</t>
  </si>
  <si>
    <t>[-0.45292887029288703]</t>
  </si>
  <si>
    <t>[2.2769784999545664]</t>
  </si>
  <si>
    <t>[1.992941458360292]</t>
  </si>
  <si>
    <t>[2.312156541622244]</t>
  </si>
  <si>
    <t>[1.2961586667224765]</t>
  </si>
  <si>
    <t>[2.4965405000839382]</t>
  </si>
  <si>
    <t>[-0.5]</t>
  </si>
  <si>
    <t>[0.11401673640167365]</t>
  </si>
  <si>
    <t>[1.3101114999735728]</t>
  </si>
  <si>
    <t>[0.16527196652719664]</t>
  </si>
  <si>
    <t>[1.0972681250423193]</t>
  </si>
  <si>
    <t>[1.4126267917454243]</t>
  </si>
  <si>
    <t>[2.3433631249936298]</t>
  </si>
  <si>
    <t>[1.545280750025995]</t>
  </si>
  <si>
    <t>[-0.18305439330543932]</t>
  </si>
  <si>
    <t>[-0.27510460251046026]</t>
  </si>
  <si>
    <t>[1.7794177083997056]</t>
  </si>
  <si>
    <t>[-0.38389121338912136]</t>
  </si>
  <si>
    <t>[1.4083675417350605]</t>
  </si>
  <si>
    <t>[1.1131801250157878]</t>
  </si>
  <si>
    <t>[0.32217573221757323]</t>
  </si>
  <si>
    <t>[1.5948530833702534]</t>
  </si>
  <si>
    <t>[-0.18410041841004185]</t>
  </si>
  <si>
    <t>[0.032426778242677826]</t>
  </si>
  <si>
    <t>[1.554410749929957]</t>
  </si>
  <si>
    <t>[2.441243875073269]</t>
  </si>
  <si>
    <t>[1.3631266666343436]</t>
  </si>
  <si>
    <t>[1.3302038749679923]</t>
  </si>
  <si>
    <t>[-0.3514644351464435, -0.3702928870292887]</t>
  </si>
  <si>
    <t>[0.4435146443514644, 0.446652719665272]</t>
  </si>
  <si>
    <t>[1.543164583388716, 2.4761165000963956]</t>
  </si>
  <si>
    <t>[1.0105883333599195]</t>
  </si>
  <si>
    <t>[-0.3985355648535565, -0.40585774058577406, -0.3169456066945607]</t>
  </si>
  <si>
    <t>[0.3922594142259414, 0.3912133891213389, 0.3514644351464435]</t>
  </si>
  <si>
    <t>[1.27493558335118, 2.6412426666356623, 3.9584268749458715]</t>
  </si>
  <si>
    <t>[1.9941552083473653]</t>
  </si>
  <si>
    <t>[1.3131271665915847]</t>
  </si>
  <si>
    <t>[-0.36297071129707115]</t>
  </si>
  <si>
    <t>[4.19261024997104]</t>
  </si>
  <si>
    <t>[-0.4780334728033473]</t>
  </si>
  <si>
    <t>[-0.06903765690376569]</t>
  </si>
  <si>
    <t>[2.096398208406754]</t>
  </si>
  <si>
    <t>[-0.49267782426778245]</t>
  </si>
  <si>
    <t>[1.4797203332418576]</t>
  </si>
  <si>
    <t>[-0.12761506276150628]</t>
  </si>
  <si>
    <t>[1.4962642083410174]</t>
  </si>
  <si>
    <t>[1.5294700833037496]</t>
  </si>
  <si>
    <t>[1.5133397083263844]</t>
  </si>
  <si>
    <t>[1.5934180000331253]</t>
  </si>
  <si>
    <t>[1.3461255417205393]</t>
  </si>
  <si>
    <t>[-0.100418410041841]</t>
  </si>
  <si>
    <t>[1.859574458329007]</t>
  </si>
  <si>
    <t>[0.401673640167364]</t>
  </si>
  <si>
    <t>[-0.2709205020920502]</t>
  </si>
  <si>
    <t>[1.2297915832605213]</t>
  </si>
  <si>
    <t>[0.3179916317991632]</t>
  </si>
  <si>
    <t>[1.276937749935314]</t>
  </si>
  <si>
    <t>[0.28451882845188287, 0.303347280334728]</t>
  </si>
  <si>
    <t>[0.3817991631799163, 0.3817991631799163]</t>
  </si>
  <si>
    <t>[1.8939134166575968, 2.4599587499396876]</t>
  </si>
  <si>
    <t>[-0.1694560669456067, -0.15481171548117154]</t>
  </si>
  <si>
    <t>[-0.3253138075313807, -0.3253138075313807]</t>
  </si>
  <si>
    <t>[1.296327333431691, 1.9635212500579655]</t>
  </si>
  <si>
    <t>[2.5575221250765026]</t>
  </si>
  <si>
    <t>[1.3470029582967982]</t>
  </si>
  <si>
    <t>[1.729246541741304]</t>
  </si>
  <si>
    <t>[0.3023012552301255]</t>
  </si>
  <si>
    <t>[1.7632932916749269]</t>
  </si>
  <si>
    <t>[0.10460251046025104]</t>
  </si>
  <si>
    <t>[1.2797434167005122]</t>
  </si>
  <si>
    <t>[1.8640259999083355]</t>
  </si>
  <si>
    <t>[0.38389121338912136]</t>
  </si>
  <si>
    <t>[1.5448005833895877]</t>
  </si>
  <si>
    <t>[2.0133249582722783]</t>
  </si>
  <si>
    <t>[2.446563916746527]</t>
  </si>
  <si>
    <t>[1.5768453334458172]</t>
  </si>
  <si>
    <t>[-0.06171548117154812]</t>
  </si>
  <si>
    <t>[-0.2615062761506276]</t>
  </si>
  <si>
    <t>[1.410686125047505]</t>
  </si>
  <si>
    <t>[1.4584026250522584]</t>
  </si>
  <si>
    <t>[1.6960031250491738]</t>
  </si>
  <si>
    <t>[0.4006276150627615]</t>
  </si>
  <si>
    <t>[-0.20711297071129708]</t>
  </si>
  <si>
    <t>[1.626951124984771]</t>
  </si>
  <si>
    <t>[-0.41841004184100417]</t>
  </si>
  <si>
    <t>[1.6272103750379756]</t>
  </si>
  <si>
    <t>[-0.10460251046025104]</t>
  </si>
  <si>
    <t>[0.07322175732217573]</t>
  </si>
  <si>
    <t>[1.996605291729793]</t>
  </si>
  <si>
    <t>[1.3796138749457896]</t>
  </si>
  <si>
    <t>[1.6964652083115652]</t>
  </si>
  <si>
    <t>[1.3252391667338088]</t>
  </si>
  <si>
    <t>[2.326561124995351]</t>
  </si>
  <si>
    <t>[0.3158995815899582]</t>
  </si>
  <si>
    <t>[2.0298294166568667]</t>
  </si>
  <si>
    <t>[1.8101330416975543]</t>
  </si>
  <si>
    <t>[-0.02615062761506276]</t>
  </si>
  <si>
    <t>[1.297452958417125]</t>
  </si>
  <si>
    <t>[1.3280745833180845]</t>
  </si>
  <si>
    <t>[0.36715481171548114]</t>
  </si>
  <si>
    <t>[1.828999458346516]</t>
  </si>
  <si>
    <t>[1.3767576250247657]</t>
  </si>
  <si>
    <t>[1.7439836249686778]</t>
  </si>
  <si>
    <t>[1.963290375075303]</t>
  </si>
  <si>
    <t>[1.7777217916445807]</t>
  </si>
  <si>
    <t>[0.48221757322175735]</t>
  </si>
  <si>
    <t>[1.5785963333910331]</t>
  </si>
  <si>
    <t>[2.125014708377421]</t>
  </si>
  <si>
    <t>[-0.48535564853556484]</t>
  </si>
  <si>
    <t>[1.19644283328671]</t>
  </si>
  <si>
    <t>[0.17259414225941422]</t>
  </si>
  <si>
    <t>[2.010416083387099]</t>
  </si>
  <si>
    <t>[0.19874476987447698]</t>
  </si>
  <si>
    <t>[1.446604416705668]</t>
  </si>
  <si>
    <t>[1.5934864999726415]</t>
  </si>
  <si>
    <t>VS5</t>
  </si>
  <si>
    <t>[0.1893305439330544]</t>
  </si>
  <si>
    <t>[1.3399813333526254]</t>
  </si>
  <si>
    <t>[0.3985355648535565]</t>
  </si>
  <si>
    <t>[1.5122027500765398]</t>
  </si>
  <si>
    <t>[-0.4602510460251046, -0.44037656903765693]</t>
  </si>
  <si>
    <t>[-0.03556485355648536, -0.06380753138075314]</t>
  </si>
  <si>
    <t>[1.4299011665862054, 3.4463539166608825]</t>
  </si>
  <si>
    <t>[1.2481599582824856]</t>
  </si>
  <si>
    <t>[1.7629774999804795]</t>
  </si>
  <si>
    <t>[0.01778242677824268]</t>
  </si>
  <si>
    <t>[1.7631139167351648]</t>
  </si>
  <si>
    <t>[0.9962860000086948]</t>
  </si>
  <si>
    <t>[1.165005458286032]</t>
  </si>
  <si>
    <t>[-0.25627615062761505]</t>
  </si>
  <si>
    <t>[2.2463179582264274]</t>
  </si>
  <si>
    <t>[-0.19246861924686193]</t>
  </si>
  <si>
    <t>[1.731430958257988]</t>
  </si>
  <si>
    <t>[-0.053347280334728034]</t>
  </si>
  <si>
    <t>[1.6135133332572877]</t>
  </si>
  <si>
    <t>[-0.009414225941422594]</t>
  </si>
  <si>
    <t>[1.2787753749871626]</t>
  </si>
  <si>
    <t>[-0.39435146443514646]</t>
  </si>
  <si>
    <t>[1.6298282083589584]</t>
  </si>
  <si>
    <t>[2.0634187082760036]</t>
  </si>
  <si>
    <t>[-0.3702928870292887]</t>
  </si>
  <si>
    <t>[1.4465850832639262]</t>
  </si>
  <si>
    <t>[1.3478802499594167]</t>
  </si>
  <si>
    <t>[0.30857740585774057]</t>
  </si>
  <si>
    <t>[1.315070999902673]</t>
  </si>
  <si>
    <t>[1.329624833422713]</t>
  </si>
  <si>
    <t>[0.34518828451882844]</t>
  </si>
  <si>
    <t>[1.2796624166658148]</t>
  </si>
  <si>
    <t>[-0.03765690376569038]</t>
  </si>
  <si>
    <t>[1.1480223750695586]</t>
  </si>
  <si>
    <t>[1.2797902500024065]</t>
  </si>
  <si>
    <t>[-0.1098326359832636]</t>
  </si>
  <si>
    <t>[0.13912133891213388]</t>
  </si>
  <si>
    <t>[1.1297964167315513]</t>
  </si>
  <si>
    <t>[-0.4571129707112971]</t>
  </si>
  <si>
    <t>[1.729684374993667]</t>
  </si>
  <si>
    <t>[1.1147345417411998]</t>
  </si>
  <si>
    <t>[0.11610878661087866]</t>
  </si>
  <si>
    <t>[1.747886124998331]</t>
  </si>
  <si>
    <t>[-0.17259414225941422]</t>
  </si>
  <si>
    <t>[1.3797948333667591]</t>
  </si>
  <si>
    <t>[1.8148999999975786]</t>
  </si>
  <si>
    <t>[-0.3169456066945607]</t>
  </si>
  <si>
    <t>[1.912809000001289]</t>
  </si>
  <si>
    <t>[1.963780333288014]</t>
  </si>
  <si>
    <t>[-0.043933054393305436]</t>
  </si>
  <si>
    <t>[1.214178291731514]</t>
  </si>
  <si>
    <t>[-0.46443514644351463]</t>
  </si>
  <si>
    <t>[1.4149340000003576]</t>
  </si>
  <si>
    <t>[1.2481510000070557]</t>
  </si>
  <si>
    <t>[1.5297428333433345]</t>
  </si>
  <si>
    <t>[1.131389541667886]</t>
  </si>
  <si>
    <t>[0.27615062761506276]</t>
  </si>
  <si>
    <t>[1.0482830416876823]</t>
  </si>
  <si>
    <t>[0.45292887029288703]</t>
  </si>
  <si>
    <t>[1.8813149166526273]</t>
  </si>
  <si>
    <t>[-0.04602510460251046]</t>
  </si>
  <si>
    <t>[1.2481517500709742]</t>
  </si>
  <si>
    <t>[-0.10669456066945607]</t>
  </si>
  <si>
    <t>[1.0964196666609496]</t>
  </si>
  <si>
    <t>[1.781819208408706]</t>
  </si>
  <si>
    <t>[-0.24686192468619247]</t>
  </si>
  <si>
    <t>[1.2451613750308752]</t>
  </si>
  <si>
    <t>[0.2604602510460251]</t>
  </si>
  <si>
    <t>[1.1797467499272898]</t>
  </si>
  <si>
    <t>[0.1297071129707113]</t>
  </si>
  <si>
    <t>[1.3465330000035465]</t>
  </si>
  <si>
    <t>[-0.4351464435146444]</t>
  </si>
  <si>
    <t>[1.1484122916590422]</t>
  </si>
  <si>
    <t>[0.2175732217573222, 0.21652719665271966]</t>
  </si>
  <si>
    <t>[0.21652719665271966, 0.2395397489539749]</t>
  </si>
  <si>
    <t>[1.5145377083681524, 2.114532958366908]</t>
  </si>
  <si>
    <t>[1.6317886667093262]</t>
  </si>
  <si>
    <t>[1.962540208362043]</t>
  </si>
  <si>
    <t>[1.0127121666446328]</t>
  </si>
  <si>
    <t>[1.7301128333201632]</t>
  </si>
  <si>
    <t>[1.2631792916217819]</t>
  </si>
  <si>
    <t>[0.34623430962343094]</t>
  </si>
  <si>
    <t>[1.229832416633144]</t>
  </si>
  <si>
    <t>[0.20292887029288703, 0.2186192468619247]</t>
  </si>
  <si>
    <t>[-0.401673640167364, -0.401673640167364]</t>
  </si>
  <si>
    <t>[0.982307625003159, 1.5481764166615903]</t>
  </si>
  <si>
    <t>[2.0801002082880586]</t>
  </si>
  <si>
    <t>[0.07635983263598327]</t>
  </si>
  <si>
    <t>[2.314592208247632]</t>
  </si>
  <si>
    <t>[1.2129875416867435]</t>
  </si>
  <si>
    <t>[1.9633224999997765]</t>
  </si>
  <si>
    <t>[0.25]</t>
  </si>
  <si>
    <t>[1.1811293333303183]</t>
  </si>
  <si>
    <t>[0.03347280334728033]</t>
  </si>
  <si>
    <t>[1.5814321666257456]</t>
  </si>
  <si>
    <t>[1.197871166630648]</t>
  </si>
  <si>
    <t>[-0.02092050209205021]</t>
  </si>
  <si>
    <t>[0.1401673640167364]</t>
  </si>
  <si>
    <t>[1.1798765416024253]</t>
  </si>
  <si>
    <t>[0.29707112970711297]</t>
  </si>
  <si>
    <t>[1.0633457916555926]</t>
  </si>
  <si>
    <t>[0.3514644351464435]</t>
  </si>
  <si>
    <t>[1.2645327916834503]</t>
  </si>
  <si>
    <t>[0.17782426778242677]</t>
  </si>
  <si>
    <t>[1.4631502499105409]</t>
  </si>
  <si>
    <t>[1.3630981666501611]</t>
  </si>
  <si>
    <t>[1.2314841250190511]</t>
  </si>
  <si>
    <t>[-0.41631799163179917]</t>
  </si>
  <si>
    <t>[1.6298029166646302]</t>
  </si>
  <si>
    <t>[1.6314896249677986]</t>
  </si>
  <si>
    <t>[1.3646895834244788]</t>
  </si>
  <si>
    <t>[0.04707112970711297]</t>
  </si>
  <si>
    <t>[1.4964065833482891]</t>
  </si>
  <si>
    <t>[1.4628649583319202]</t>
  </si>
  <si>
    <t>[1.2133297916734591]</t>
  </si>
  <si>
    <t>[1.947056791628711]</t>
  </si>
  <si>
    <t>[1.3809170833555982]</t>
  </si>
  <si>
    <t>[1.0630622500320897]</t>
  </si>
  <si>
    <t>[1.3294881666079164]</t>
  </si>
  <si>
    <t>[1.1650835417676717]</t>
  </si>
  <si>
    <t>[-0.39644351464435146]</t>
  </si>
  <si>
    <t>[1.8463072917656973]</t>
  </si>
  <si>
    <t>[-0.21443514644351463]</t>
  </si>
  <si>
    <t>[1.2648412082344294]</t>
  </si>
  <si>
    <t>[1.9480480833444744]</t>
  </si>
  <si>
    <t>[0.4320083682008368]</t>
  </si>
  <si>
    <t>[1.529787958250381]</t>
  </si>
  <si>
    <t>[-0.1307531380753138]</t>
  </si>
  <si>
    <t>[1.7148791665676981]</t>
  </si>
  <si>
    <t>[1.4312750833341852]</t>
  </si>
  <si>
    <t>[0.02092050209205021]</t>
  </si>
  <si>
    <t>[0.7648923333035782]</t>
  </si>
  <si>
    <t>[1.3464492915663868]</t>
  </si>
  <si>
    <t>[1.2147048749029636]</t>
  </si>
  <si>
    <t>[0.38493723849372385]</t>
  </si>
  <si>
    <t>[1.4814798332517967]</t>
  </si>
  <si>
    <t>[1.19808508339338]</t>
  </si>
  <si>
    <t>[1.162908999947831]</t>
  </si>
  <si>
    <t>[0.4435146443514644]</t>
  </si>
  <si>
    <t>[1.6304140000138432]</t>
  </si>
  <si>
    <t>[2.0143736249301583]</t>
  </si>
  <si>
    <t>[0.14958158995815898, 0.13284518828451883]</t>
  </si>
  <si>
    <t>[0.3472803347280335, 0.35669456066945604]</t>
  </si>
  <si>
    <t>[2.0970258333254606, 2.846134208375588]</t>
  </si>
  <si>
    <t>[1.1149480416206643]</t>
  </si>
  <si>
    <t>[-0.41527196652719667]</t>
  </si>
  <si>
    <t>[1.2131412082817405]</t>
  </si>
  <si>
    <t>[-0.12447698744769875]</t>
  </si>
  <si>
    <t>[1.5479902083752677]</t>
  </si>
  <si>
    <t>[1.948003500001505]</t>
  </si>
  <si>
    <t>[-0.2625523012552301]</t>
  </si>
  <si>
    <t>[1.33001212507952]</t>
  </si>
  <si>
    <t>[1.546545833349228]</t>
  </si>
  <si>
    <t>[-0.2510460251046025]</t>
  </si>
  <si>
    <t>[-0.26464435146443516]</t>
  </si>
  <si>
    <t>[1.2479546666145325]</t>
  </si>
  <si>
    <t>[1.629725041682832]</t>
  </si>
  <si>
    <t>[0.49476987447698745]</t>
  </si>
  <si>
    <t>[1.0150272082537413]</t>
  </si>
  <si>
    <t>[-0.42782426778242677]</t>
  </si>
  <si>
    <t>[2.2129344166023657]</t>
  </si>
  <si>
    <t>[0.15690376569037656]</t>
  </si>
  <si>
    <t>[1.1815134166972712]</t>
  </si>
  <si>
    <t>[-0.4602510460251046]</t>
  </si>
  <si>
    <t>[1.4478852084139362]</t>
  </si>
  <si>
    <t>[1.214754541637376]</t>
  </si>
  <si>
    <t>[-0.42573221757322177]</t>
  </si>
  <si>
    <t>[1.4483754166867584]</t>
  </si>
  <si>
    <t>[1.1477309167385101]</t>
  </si>
  <si>
    <t>[0.014644351464435146]</t>
  </si>
  <si>
    <t>[1.0480516667012125]</t>
  </si>
  <si>
    <t>[1.064759916625917]</t>
  </si>
  <si>
    <t>[0.3169456066945607]</t>
  </si>
  <si>
    <t>[1.331521000014618]</t>
  </si>
  <si>
    <t>[-0.1788702928870293]</t>
  </si>
  <si>
    <t>[1.2482596666086465]</t>
  </si>
  <si>
    <t>[1.0795930832391605]</t>
  </si>
  <si>
    <t>[1.281147375004366]</t>
  </si>
  <si>
    <t>[0.9630142083624378]</t>
  </si>
  <si>
    <t>[-0.45397489539748953]</t>
  </si>
  <si>
    <t>[1.2816853749100119]</t>
  </si>
  <si>
    <t>[1.2478968750219792]</t>
  </si>
  <si>
    <t>[1.5298202499980107]</t>
  </si>
  <si>
    <t>[0.2175732217573222]</t>
  </si>
  <si>
    <t>[1.4630870833061635]</t>
  </si>
  <si>
    <t>[0.22280334728033474]</t>
  </si>
  <si>
    <t>[1.5961448750458658]</t>
  </si>
  <si>
    <t>[0.8982287916587666]</t>
  </si>
  <si>
    <t>[-0.4341004184100418]</t>
  </si>
  <si>
    <t>[1.2296802500495687]</t>
  </si>
  <si>
    <t>[1.9480636666994542]</t>
  </si>
  <si>
    <t>[-0.030334728033472803]</t>
  </si>
  <si>
    <t>[1.5979617916746065]</t>
  </si>
  <si>
    <t>[1.579848708352074]</t>
  </si>
  <si>
    <t>[0.4696652719665272]</t>
  </si>
  <si>
    <t>[2.5464157082606107]</t>
  </si>
  <si>
    <t>[1.248301541665569]</t>
  </si>
  <si>
    <t>[1.2626420833403245]</t>
  </si>
  <si>
    <t>[-0.14748953974895398]</t>
  </si>
  <si>
    <t>[2.3298801666824147]</t>
  </si>
  <si>
    <t>[1.5644284166628495]</t>
  </si>
  <si>
    <t>[1.1814367916667834]</t>
  </si>
  <si>
    <t>[1.3301507083233446]</t>
  </si>
  <si>
    <t>[0.034518828451882845]</t>
  </si>
  <si>
    <t>[1.0481482916511595]</t>
  </si>
  <si>
    <t>[0.49267782426778245]</t>
  </si>
  <si>
    <t>[1.3642078334232792]</t>
  </si>
  <si>
    <t>[1.3635268333600834]</t>
  </si>
  <si>
    <t>[1.4627842500340194]</t>
  </si>
  <si>
    <t>[1.2965432499768212]</t>
  </si>
  <si>
    <t>[1.4131457917392254]</t>
  </si>
  <si>
    <t>[2.1963708749972284]</t>
  </si>
  <si>
    <t>[-0.15376569037656904]</t>
  </si>
  <si>
    <t>[0.9981658332981169]</t>
  </si>
  <si>
    <t>[0.29602510460251047]</t>
  </si>
  <si>
    <t>[1.1954874166985974]</t>
  </si>
  <si>
    <t>[1.280192333390005]</t>
  </si>
  <si>
    <t>[1.8959869167301804]</t>
  </si>
  <si>
    <t>[1.681345041608438]</t>
  </si>
  <si>
    <t>[0.3190376569037657]</t>
  </si>
  <si>
    <t>[1.1130514583783224]</t>
  </si>
  <si>
    <t>[1.2300210417015478]</t>
  </si>
  <si>
    <t>[-0.348326359832636]</t>
  </si>
  <si>
    <t>[1.6314545000204816]</t>
  </si>
  <si>
    <t>[0.24476987447698745]</t>
  </si>
  <si>
    <t>[1.247435791650787]</t>
  </si>
  <si>
    <t>[1.0630123333539814]</t>
  </si>
  <si>
    <t>[1.1965089166769758]</t>
  </si>
  <si>
    <t>[1.5982649583602324]</t>
  </si>
  <si>
    <t>[0.9295759999658912]</t>
  </si>
  <si>
    <t>[0.2719665271966527]</t>
  </si>
  <si>
    <t>[1.2127691250061616]</t>
  </si>
  <si>
    <t>[1.2649273333372548]</t>
  </si>
  <si>
    <t>[-0.0020920502092050207]</t>
  </si>
  <si>
    <t>[1.5483808333519846]</t>
  </si>
  <si>
    <t>[1.4308250417234376]</t>
  </si>
  <si>
    <t>[-0.056485355648535567, -0.049163179916317995]</t>
  </si>
  <si>
    <t>[-0.33263598326359833, -0.34309623430962344]</t>
  </si>
  <si>
    <t>[1.1630574583541602, 1.696289333398454]</t>
  </si>
  <si>
    <t>[1.1312610832974315]</t>
  </si>
  <si>
    <t>[0.9630872500129044]</t>
  </si>
  <si>
    <t>[1.0481089167296886]</t>
  </si>
  <si>
    <t>[1.946406791685149]</t>
  </si>
  <si>
    <t>[-0.027196652719665274, -0.0502092050209205]</t>
  </si>
  <si>
    <t>[-0.21338912133891214, -0.2102510460251046]</t>
  </si>
  <si>
    <t>[1.5630560416029766, 2.0797321666032076]</t>
  </si>
  <si>
    <t>[-0.22698744769874477]</t>
  </si>
  <si>
    <t>[0.9963801667327061]</t>
  </si>
  <si>
    <t>[1.2812624166253954]</t>
  </si>
  <si>
    <t>[0.18828451882845187]</t>
  </si>
  <si>
    <t>[1.081276833312586]</t>
  </si>
  <si>
    <t>[1.7482970000710338]</t>
  </si>
  <si>
    <t>[1.4479045416228473]</t>
  </si>
  <si>
    <t>[1.5796640417538583]</t>
  </si>
  <si>
    <t>[1.8967908750055358]</t>
  </si>
  <si>
    <t>[0.3619246861924686]</t>
  </si>
  <si>
    <t>[1.344591416651383]</t>
  </si>
  <si>
    <t>[1.1477932500420138]</t>
  </si>
  <si>
    <t>[1.564783624955453]</t>
  </si>
  <si>
    <t>[1.1322513333288953]</t>
  </si>
  <si>
    <t>[-0.0397489539748954]</t>
  </si>
  <si>
    <t>[2.212087625055574]</t>
  </si>
  <si>
    <t>[-0.38493723849372385]</t>
  </si>
  <si>
    <t>[1.3318460832815617]</t>
  </si>
  <si>
    <t>[1.6131076250458136]</t>
  </si>
  <si>
    <t>[0.06903765690376569, 0.10564853556485355]</t>
  </si>
  <si>
    <t>[-0.1589958158995816, -0.1684100418410042]</t>
  </si>
  <si>
    <t>[1.464851833297871, 2.364475875045173]</t>
  </si>
  <si>
    <t>[0.45502092050209203]</t>
  </si>
  <si>
    <t>[1.746143166674301]</t>
  </si>
  <si>
    <t>[1.6633187916595489]</t>
  </si>
  <si>
    <t>[1.4479407500475645]</t>
  </si>
  <si>
    <t>[1.5132811249932274]</t>
  </si>
  <si>
    <t>[0.4089958158995816]</t>
  </si>
  <si>
    <t>[1.3481120417127386]</t>
  </si>
  <si>
    <t>[0.39748953974895396]</t>
  </si>
  <si>
    <t>[1.381285541690886]</t>
  </si>
  <si>
    <t>[1.2645856667077169]</t>
  </si>
  <si>
    <t>[1.546225416706875]</t>
  </si>
  <si>
    <t>[1.1648772082990035]</t>
  </si>
  <si>
    <t>[-0.4780334728033473, -0.48221757322175735]</t>
  </si>
  <si>
    <t>[-0.23430962343096234, -0.19456066945606695]</t>
  </si>
  <si>
    <t>[2.6479751666774973, 3.182026791619137]</t>
  </si>
  <si>
    <t>[3.0972488332772627]</t>
  </si>
  <si>
    <t>[2.0965419167187065]</t>
  </si>
  <si>
    <t>[0.2102510460251046]</t>
  </si>
  <si>
    <t>[1.9630535417236388]</t>
  </si>
  <si>
    <t>[3.631377000012435]</t>
  </si>
  <si>
    <t>[0.3817991631799163]</t>
  </si>
  <si>
    <t>[1.2648707500193268]</t>
  </si>
  <si>
    <t>[-0.10774058577405858]</t>
  </si>
  <si>
    <t>[1.1141951667377725]</t>
  </si>
  <si>
    <t>[1.3466045833192766]</t>
  </si>
  <si>
    <t>[1.31314950005617]</t>
  </si>
  <si>
    <t>[2.765301375067793]</t>
  </si>
  <si>
    <t>[-0.3200836820083682]</t>
  </si>
  <si>
    <t>[1.862769874976948]</t>
  </si>
  <si>
    <t>[1.346284416737035]</t>
  </si>
  <si>
    <t>[1.148045583278872]</t>
  </si>
  <si>
    <t>[0.9977837499463931]</t>
  </si>
  <si>
    <t>[0.2510460251046025, 0.26673640167364016]</t>
  </si>
  <si>
    <t>[-0.1297071129707113, -0.1297071129707113]</t>
  </si>
  <si>
    <t>[0.8650920833460987, 1.364805958350189]</t>
  </si>
  <si>
    <t>[-0.22280334728033474]</t>
  </si>
  <si>
    <t>[1.1300168333109468]</t>
  </si>
  <si>
    <t>[1.196377250016667]</t>
  </si>
  <si>
    <t>VS2</t>
  </si>
  <si>
    <t>[-0.401673640167364]</t>
  </si>
  <si>
    <t>[1.088747666683048]</t>
  </si>
  <si>
    <t>[-0.1108786610878661]</t>
  </si>
  <si>
    <t>[1.0123690833570436]</t>
  </si>
  <si>
    <t>[-0.06799163179916318]</t>
  </si>
  <si>
    <t>[1.2732545000035316]</t>
  </si>
  <si>
    <t>[-0.032426778242677826]</t>
  </si>
  <si>
    <t>[1.0739762083394453]</t>
  </si>
  <si>
    <t>[0.4110878661087866]</t>
  </si>
  <si>
    <t>[0.2301255230125523]</t>
  </si>
  <si>
    <t>[0.9082761666504666]</t>
  </si>
  <si>
    <t>[1.9260711666429415]</t>
  </si>
  <si>
    <t>[1.23658641660586]</t>
  </si>
  <si>
    <t>[-0.27615062761506276]</t>
  </si>
  <si>
    <t>[1.226578583358787]</t>
  </si>
  <si>
    <t>[0.11192468619246862]</t>
  </si>
  <si>
    <t>[0.10564853556485355]</t>
  </si>
  <si>
    <t>[1.3743754166644067]</t>
  </si>
  <si>
    <t>[1.4752883749315515]</t>
  </si>
  <si>
    <t>[1.258413124945946]</t>
  </si>
  <si>
    <t>[1.1121285000117496]</t>
  </si>
  <si>
    <t>[-0.2803347280334728]</t>
  </si>
  <si>
    <t>[1.5938711250200868]</t>
  </si>
  <si>
    <t>[1.3318330417387187]</t>
  </si>
  <si>
    <t>[1.3262683333596215]</t>
  </si>
  <si>
    <t>[-0.46548117154811713]</t>
  </si>
  <si>
    <t>[1.4207920000189915]</t>
  </si>
  <si>
    <t>[-0.029288702928870293]</t>
  </si>
  <si>
    <t>[3.491393291624263]</t>
  </si>
  <si>
    <t>[1.2758821249008179]</t>
  </si>
  <si>
    <t>[1.5119017083197832]</t>
  </si>
  <si>
    <t>[1.229455874999985]</t>
  </si>
  <si>
    <t>[1.3212124584242702]</t>
  </si>
  <si>
    <t>[2.3224418750032783]</t>
  </si>
  <si>
    <t>[1.5121058333897963]</t>
  </si>
  <si>
    <t>[1.291893249959685]</t>
  </si>
  <si>
    <t>[0.08472803347280335]</t>
  </si>
  <si>
    <t>[1.6583181666210294]</t>
  </si>
  <si>
    <t>[0.9752256666542962]</t>
  </si>
  <si>
    <t>[1.3960117500973865]</t>
  </si>
  <si>
    <t>[-0.25418410041841005]</t>
  </si>
  <si>
    <t>[1.776075708330609]</t>
  </si>
  <si>
    <t>[-0.12238493723849372]</t>
  </si>
  <si>
    <t>[1.475353499990888]</t>
  </si>
  <si>
    <t>[-0.24581589958158995]</t>
  </si>
  <si>
    <t>[1.3763110416475683]</t>
  </si>
  <si>
    <t>[1.175067083328031]</t>
  </si>
  <si>
    <t>[-0.04079497907949791]</t>
  </si>
  <si>
    <t>[0.33577405857740583]</t>
  </si>
  <si>
    <t>[1.8125954999122769]</t>
  </si>
  <si>
    <t>[3.124779041740112]</t>
  </si>
  <si>
    <t>[1.594524374930188]</t>
  </si>
  <si>
    <t>[1.4251547498861328]</t>
  </si>
  <si>
    <t>[-0.29707112970711297]</t>
  </si>
  <si>
    <t>[2.109553666668944]</t>
  </si>
  <si>
    <t>[-0.13598326359832635]</t>
  </si>
  <si>
    <t>[0.9291720000328496]</t>
  </si>
  <si>
    <t>[1.2620499583426863]</t>
  </si>
  <si>
    <t>[1.195604749955237]</t>
  </si>
  <si>
    <t>[1.3766873333370313]</t>
  </si>
  <si>
    <t>[-0.2698744769874477]</t>
  </si>
  <si>
    <t>[1.2043203334324062]</t>
  </si>
  <si>
    <t>[0.13389121338912133]</t>
  </si>
  <si>
    <t>[1.1444683750160038]</t>
  </si>
  <si>
    <t>[-0.3054393305439331]</t>
  </si>
  <si>
    <t>[1.8287836250383407]</t>
  </si>
  <si>
    <t>[1.1430640832986683]</t>
  </si>
  <si>
    <t>[1.4287892082938924]</t>
  </si>
  <si>
    <t>[1.0952966250479221]</t>
  </si>
  <si>
    <t>[1.3754414167487994]</t>
  </si>
  <si>
    <t>[0.2280334728033473]</t>
  </si>
  <si>
    <t>[2.6235967916436493]</t>
  </si>
  <si>
    <t>[1.3085463749011979]</t>
  </si>
  <si>
    <t>[-0.3274058577405858]</t>
  </si>
  <si>
    <t>[1.2127236250089481]</t>
  </si>
  <si>
    <t>[-0.3190376569037657]</t>
  </si>
  <si>
    <t>[1.0931097916327417]</t>
  </si>
  <si>
    <t>[0.11715481171548117, 0.11715481171548117, 0.09937238493723849]</t>
  </si>
  <si>
    <t>[0.29602510460251047, 0.29602510460251047, 0.2928870292887029]</t>
  </si>
  <si>
    <t>[2.1107738750288263, 2.660349791753106, 3.560454541700892]</t>
  </si>
  <si>
    <t>[1.7270491665694863]</t>
  </si>
  <si>
    <t>[-0.448744769874477]</t>
  </si>
  <si>
    <t>[1.7235690833767876]</t>
  </si>
  <si>
    <t>[-0.17677824267782427]</t>
  </si>
  <si>
    <t>[1.474824249977246]</t>
  </si>
  <si>
    <t>[0.08054393305439331]</t>
  </si>
  <si>
    <t>[1.226238333270885]</t>
  </si>
  <si>
    <t>[1.59294391667936]</t>
  </si>
  <si>
    <t>[-0.26778242677824265]</t>
  </si>
  <si>
    <t>[1.2622765833511949]</t>
  </si>
  <si>
    <t>[1.0583058749325573]</t>
  </si>
  <si>
    <t>[1.662452416610904]</t>
  </si>
  <si>
    <t>[1.3609754582867026]</t>
  </si>
  <si>
    <t>[-0.24686192468619247, -0.23430962343096234]</t>
  </si>
  <si>
    <t>[0.2384937238493724, 0.2405857740585774]</t>
  </si>
  <si>
    <t>[0.9584139999933541, 1.574860041611828]</t>
  </si>
  <si>
    <t>[1.2094786249799654]</t>
  </si>
  <si>
    <t>[2.0295329166110605]</t>
  </si>
  <si>
    <t>[0.14330543933054393]</t>
  </si>
  <si>
    <t>[2.3750349583569914]</t>
  </si>
  <si>
    <t>[0.3284518828451883]</t>
  </si>
  <si>
    <t>[1.146302833338268]</t>
  </si>
  <si>
    <t>[0.9941816249629483]</t>
  </si>
  <si>
    <t>[1.30665849999059]</t>
  </si>
  <si>
    <t>[1.6250579999759793]</t>
  </si>
  <si>
    <t>[1.0960094999754801]</t>
  </si>
  <si>
    <t>[-0.44142259414225943]</t>
  </si>
  <si>
    <t>[1.8620846249395981]</t>
  </si>
  <si>
    <t>[0.46548117154811713]</t>
  </si>
  <si>
    <t>[0.06589958158995816]</t>
  </si>
  <si>
    <t>[1.112212749896571]</t>
  </si>
  <si>
    <t>[1.1259772500488907]</t>
  </si>
  <si>
    <t>[1.2633087916765362]</t>
  </si>
  <si>
    <t>[-0.18200836820083682]</t>
  </si>
  <si>
    <t>[1.1442434166092426]</t>
  </si>
  <si>
    <t>[-0.2719665271966527]</t>
  </si>
  <si>
    <t>[1.5413736666087061]</t>
  </si>
  <si>
    <t>[-0.4665271966527197]</t>
  </si>
  <si>
    <t>[1.7121724166208878]</t>
  </si>
  <si>
    <t>[1.2293203750159591]</t>
  </si>
  <si>
    <t>[1.4762516666669399]</t>
  </si>
  <si>
    <t>[1.5918406666023657]</t>
  </si>
  <si>
    <t>[1.6753987499978393]</t>
  </si>
  <si>
    <t>[1.4040076667442918]</t>
  </si>
  <si>
    <t>[-0.3472803347280335]</t>
  </si>
  <si>
    <t>[1.5621126249898225]</t>
  </si>
  <si>
    <t>[-0.07740585774058577]</t>
  </si>
  <si>
    <t>[1.912732750060968]</t>
  </si>
  <si>
    <t>[0.16422594142259414]</t>
  </si>
  <si>
    <t>[1.1953716250136495]</t>
  </si>
  <si>
    <t>[-0.07322175732217573]</t>
  </si>
  <si>
    <t>[1.2460231250151992]</t>
  </si>
  <si>
    <t>[-0.49686192468619245]</t>
  </si>
  <si>
    <t>[1.5264831250533462]</t>
  </si>
  <si>
    <t>[-0.1202928870292887]</t>
  </si>
  <si>
    <t>[1.545614166650921]</t>
  </si>
  <si>
    <t>[1.4066200833767653]</t>
  </si>
  <si>
    <t>[1.5258387082722038]</t>
  </si>
  <si>
    <t>[-0.06276150627615062]</t>
  </si>
  <si>
    <t>[1.1115572500275448]</t>
  </si>
  <si>
    <t>[1.692206041654572]</t>
  </si>
  <si>
    <t>[1.2428963750135154]</t>
  </si>
  <si>
    <t>[0.303347280334728]</t>
  </si>
  <si>
    <t>[1.3939999166177586]</t>
  </si>
  <si>
    <t>[1.5929534999886528]</t>
  </si>
  <si>
    <t>[1.2587059166980907]</t>
  </si>
  <si>
    <t>[1.695026541594416]</t>
  </si>
  <si>
    <t>[1.4435680833412334]</t>
  </si>
  <si>
    <t>[1.3780828750459477]</t>
  </si>
  <si>
    <t>[1.3623286666115746]</t>
  </si>
  <si>
    <t>[1.1786961250472814]</t>
  </si>
  <si>
    <t>[1.4959800832439214]</t>
  </si>
  <si>
    <t>[2.525162541656755]</t>
  </si>
  <si>
    <t>[1.2578932082979009]</t>
  </si>
  <si>
    <t>[1.429339624941349]</t>
  </si>
  <si>
    <t>[0.1506276150627615]</t>
  </si>
  <si>
    <t>[1.7426175416912884]</t>
  </si>
  <si>
    <t>[1.3085331249749288]</t>
  </si>
  <si>
    <t>[1.3585923333885148]</t>
  </si>
  <si>
    <t>[-0.07845188284518828, -0.11610878661087866, -0.10251046025104603]</t>
  </si>
  <si>
    <t>[0.2594142259414226, 0.26359832635983266, 0.25313807531380755]</t>
  </si>
  <si>
    <t>[1.1257906666724011, 1.9249459583079442, 2.3913406250067055]</t>
  </si>
  <si>
    <t>[1.4123144999612123]</t>
  </si>
  <si>
    <t>[1.0094383750110865]</t>
  </si>
  <si>
    <t>[1.309480124968104]</t>
  </si>
  <si>
    <t>[1.4090064583579078]</t>
  </si>
  <si>
    <t>[1.5455444166436791]</t>
  </si>
  <si>
    <t>[1.4954074582783505]</t>
  </si>
  <si>
    <t>[1.246341250021942]</t>
  </si>
  <si>
    <t>[1.3397725833347067]</t>
  </si>
  <si>
    <t>[0.29916317991631797]</t>
  </si>
  <si>
    <t>[0.17677824267782427]</t>
  </si>
  <si>
    <t>[1.258177625015378]</t>
  </si>
  <si>
    <t>[0.9416590416803956]</t>
  </si>
  <si>
    <t>[1.6915669166482985]</t>
  </si>
  <si>
    <t>[1.8258358750026673]</t>
  </si>
  <si>
    <t>[0.28556485355648537]</t>
  </si>
  <si>
    <t>[0.32112970711297073]</t>
  </si>
  <si>
    <t>[1.2961397083709016]</t>
  </si>
  <si>
    <t>[-0.10355648535564854]</t>
  </si>
  <si>
    <t>[1.1785833332687616]</t>
  </si>
  <si>
    <t>[1.4783180833328515]</t>
  </si>
  <si>
    <t>[1.3583139167167246]</t>
  </si>
  <si>
    <t>[1.6085699165705591]</t>
  </si>
  <si>
    <t>[1.3767385416431352]</t>
  </si>
  <si>
    <t>[1.7119525000452995]</t>
  </si>
  <si>
    <t>[1.3245512916473672]</t>
  </si>
  <si>
    <t>[1.2600797499762848]</t>
  </si>
  <si>
    <t>[1.5407968333456665]</t>
  </si>
  <si>
    <t>[1.5418979582609609]</t>
  </si>
  <si>
    <t>[1.5082324165850878]</t>
  </si>
  <si>
    <t>[1.3128178332699463]</t>
  </si>
  <si>
    <t>[1.5060425832634792]</t>
  </si>
  <si>
    <t>[1.9071951666846871]</t>
  </si>
  <si>
    <t>[1.2251966249896213]</t>
  </si>
  <si>
    <t>[1.3235095833661035]</t>
  </si>
  <si>
    <t>[1.2917506666854024]</t>
  </si>
  <si>
    <t>[1.05859258340206]</t>
  </si>
  <si>
    <t>[1.0295231665950269]</t>
  </si>
  <si>
    <t>[1.1793941666837782]</t>
  </si>
  <si>
    <t>[1.4623115416616201]</t>
  </si>
  <si>
    <t>[-0.5104602510460251]</t>
  </si>
  <si>
    <t>[1.5120134166209027]</t>
  </si>
  <si>
    <t>[1.6468892083503306]</t>
  </si>
  <si>
    <t>[1.743829375016503]</t>
  </si>
  <si>
    <t>[1.158907749922946]</t>
  </si>
  <si>
    <t>[1.2960784166352823]</t>
  </si>
  <si>
    <t>[1.2123513333499432]</t>
  </si>
  <si>
    <t>[-0.3723849372384937, -0.3493723849372385]</t>
  </si>
  <si>
    <t>[-0.35251046025104604, -0.3514644351464435]</t>
  </si>
  <si>
    <t>[1.762553874985315, 2.3125102083431557]</t>
  </si>
  <si>
    <t>[2.075503124971874]</t>
  </si>
  <si>
    <t>[1.2436811665538698]</t>
  </si>
  <si>
    <t>[1.75533174991142]</t>
  </si>
  <si>
    <t>[1.0119305000407621]</t>
  </si>
  <si>
    <t>[1.4125450417632237]</t>
  </si>
  <si>
    <t>[1.5931005000602454]</t>
  </si>
  <si>
    <t>[1.9092114167287946]</t>
  </si>
  <si>
    <t>[1.0447185833472759]</t>
  </si>
  <si>
    <t>[0.3399581589958159]</t>
  </si>
  <si>
    <t>[2.0459982082247734]</t>
  </si>
  <si>
    <t>[1.9940583332208917]</t>
  </si>
  <si>
    <t>[0.12761506276150628]</t>
  </si>
  <si>
    <t>[1.2786767916986719]</t>
  </si>
  <si>
    <t>[0.09100418410041841]</t>
  </si>
  <si>
    <t>[1.2755762500455603]</t>
  </si>
  <si>
    <t>[-0.07217573221757322]</t>
  </si>
  <si>
    <t>[2.1129584166919813]</t>
  </si>
  <si>
    <t>[1.578544916701503]</t>
  </si>
  <si>
    <t>[0.19769874476987448]</t>
  </si>
  <si>
    <t>[1.4435963333817199]</t>
  </si>
  <si>
    <t>[-0.17364016736401675]</t>
  </si>
  <si>
    <t>[1.1897741249995306]</t>
  </si>
  <si>
    <t>[1.4418211249867454]</t>
  </si>
  <si>
    <t>[0.48326359832635984]</t>
  </si>
  <si>
    <t>[1.4126263749785721]</t>
  </si>
  <si>
    <t>[1.3466857916209847]</t>
  </si>
  <si>
    <t>[1.211695541627705]</t>
  </si>
  <si>
    <t>[1.2788124167127535]</t>
  </si>
  <si>
    <t>[0.04288702928870293]</t>
  </si>
  <si>
    <t>[1.3465493333060294]</t>
  </si>
  <si>
    <t>[1.544098624959588]</t>
  </si>
  <si>
    <t>[1.095481250085868]</t>
  </si>
  <si>
    <t>[1.012171083362773]</t>
  </si>
  <si>
    <t>[0.2834728033472803]</t>
  </si>
  <si>
    <t>[1.1293856665724888]</t>
  </si>
  <si>
    <t>[0.16527196652719664, 0.16527196652719664]</t>
  </si>
  <si>
    <t>[-0.39330543933054396, -0.4131799163179916]</t>
  </si>
  <si>
    <t>[1.459656500024721, 1.976171041605994]</t>
  </si>
  <si>
    <t>[-0.09309623430962342]</t>
  </si>
  <si>
    <t>[2.425597625086084]</t>
  </si>
  <si>
    <t>[1.5119102916214615]</t>
  </si>
  <si>
    <t>[0.18200836820083682]</t>
  </si>
  <si>
    <t>[1.2924791666446254]</t>
  </si>
  <si>
    <t>[1.6247203333768994]</t>
  </si>
  <si>
    <t>[-0.16631799163179917]</t>
  </si>
  <si>
    <t>[1.6128699999535456]</t>
  </si>
  <si>
    <t>[0.26359832635983266]</t>
  </si>
  <si>
    <t>[1.542942791711539]</t>
  </si>
  <si>
    <t>[-0.33158995815899583]</t>
  </si>
  <si>
    <t>[1.3121028749737889]</t>
  </si>
  <si>
    <t>[2.1916045416146517]</t>
  </si>
  <si>
    <t>[0.14853556485355648]</t>
  </si>
  <si>
    <t>[1.5303698333445936]</t>
  </si>
  <si>
    <t>[1.389386958326213]</t>
  </si>
  <si>
    <t>[2.062362041673623]</t>
  </si>
  <si>
    <t>[1.5746058749500662]</t>
  </si>
  <si>
    <t>[1.8922393750399351]</t>
  </si>
  <si>
    <t>[1.4428436667658389]</t>
  </si>
  <si>
    <t>[-0.47384937238493724]</t>
  </si>
  <si>
    <t>[2.0270000000018626]</t>
  </si>
  <si>
    <t>[0.07845188284518828]</t>
  </si>
  <si>
    <t>[1.7066275416873395]</t>
  </si>
  <si>
    <t>[0.4476987447698745]</t>
  </si>
  <si>
    <t>[1.7783779583405703]</t>
  </si>
  <si>
    <t>[1.596338624949567]</t>
  </si>
  <si>
    <t>[0.058577405857740586]</t>
  </si>
  <si>
    <t>[2.0430437499890104]</t>
  </si>
  <si>
    <t>[1.1623076666146517]</t>
  </si>
  <si>
    <t>[1.0292768334038556]</t>
  </si>
  <si>
    <t>[1.306744624977]</t>
  </si>
  <si>
    <t>[0.13179916317991633]</t>
  </si>
  <si>
    <t>[2.208681166754104]</t>
  </si>
  <si>
    <t>Total trials</t>
  </si>
  <si>
    <t>Accurate trials</t>
  </si>
  <si>
    <t>Accuracy (%)</t>
  </si>
  <si>
    <t>Mean RT, set size 5 (s)</t>
  </si>
  <si>
    <t>Mean RT, set size 10 (s)</t>
  </si>
  <si>
    <t>SD RT, set size 5 (s)</t>
  </si>
  <si>
    <t>SD RT, set size 10 (s)</t>
  </si>
  <si>
    <t>Mean RT, all accurate (s)</t>
  </si>
  <si>
    <t>Slope (ms/item)</t>
  </si>
  <si>
    <t>Group mean</t>
  </si>
  <si>
    <t>Group SD</t>
  </si>
  <si>
    <t>Paired t-test, mean RT set size 10 vs 5 (two-tailed p)</t>
  </si>
  <si>
    <t>t statistic, slope vs 0 (df = 4)</t>
  </si>
  <si>
    <t>Set size 5</t>
  </si>
  <si>
    <t>Set size 10</t>
  </si>
  <si>
    <t>n (set size 5)</t>
  </si>
  <si>
    <t>n (set size 10)</t>
  </si>
  <si>
    <t>SE (set size 5)</t>
  </si>
  <si>
    <t>SE (set size 10)</t>
  </si>
  <si>
    <t>Group</t>
  </si>
  <si>
    <t>Chart data — Figure 2 (RT × set size function)</t>
  </si>
  <si>
    <t>Set size</t>
  </si>
  <si>
    <t>Visual Search  Analysis</t>
  </si>
  <si>
    <t>Chart data: Figure 1 (mean RT ± 1 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</si>
</sst>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.0"/>
    <numFmt numFmtId="167" formatCode="0.0000"/>
  </numFmts>
  <fonts count="5" x14ac:knownFonts="1">
    <font>
      <sz val="11"/>
      <color theme="1"/>
      <name val="Calibri"/>
      <family val="2"/>
      <charset val="1"/>
    </font>
    <font>
      <b/>
      <sz val="11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i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1" fillId="0" borderId="0" xfId="0" applyFont="1"/>
    <xf numFmtId="166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7" fontId="2" fillId="0" borderId="0" xfId="0" applyNumberFormat="1" applyFont="1"/>
    <xf numFmtId="2" fontId="2" fillId="0" borderId="0" xfId="0" applyNumberFormat="1" applyFont="1"/>
    <xf numFmtId="0" fontId="4" fillId="0" borderId="0" xfId="0" applyFont="1"/>
    <xf numFmtId="0" fontId="1" fillId="2" borderId="1" xfId="0" applyFont="1" applyFill="1" applyBorder="1" applyAlignment="1">
      <alignment wrapText="1"/>
    </xf>
    <xf numFmtId="0" fontId="0" fillId="3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wrapText="1"/>
    </xf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7B4"/>
      <rgbColor rgb="FFC0C0C0"/>
      <rgbColor rgb="FF878787"/>
      <rgbColor rgb="FF9999FF"/>
      <rgbColor rgb="FF993366"/>
      <rgbColor rgb="FFFFFFCC"/>
      <rgbColor rgb="FFD9E1F2"/>
      <rgbColor rgb="FF660066"/>
      <rgbColor rgb="FFFF8080"/>
      <rgbColor rgb="FF2171B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ECAE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7F0E"/>
      <rgbColor rgb="FF9467BD"/>
      <rgbColor rgb="FF969696"/>
      <rgbColor rgb="FF003366"/>
      <rgbColor rgb="FF2CA02C"/>
      <rgbColor rgb="FF003300"/>
      <rgbColor rgb="FF333300"/>
      <rgbColor rgb="FFD627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Mean RT of accurate trials by set size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Analysis!$B$17</c:f>
              <c:strCache>
                <c:ptCount val="1"/>
                <c:pt idx="0">
                  <c:v>Set size 5</c:v>
                </c:pt>
              </c:strCache>
            </c:strRef>
          </c:tx>
          <c:spPr>
            <a:solidFill>
              <a:srgbClr val="9ECAE1"/>
            </a:solidFill>
            <a:ln w="6480">
              <a:solidFill>
                <a:srgbClr val="33333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Analysis!$F$18:$F$23</c:f>
                <c:numCache>
                  <c:formatCode>General</c:formatCode>
                  <c:ptCount val="6"/>
                  <c:pt idx="0">
                    <c:v>3.7897069107914287E-2</c:v>
                  </c:pt>
                  <c:pt idx="1">
                    <c:v>2.8271809018025659E-2</c:v>
                  </c:pt>
                  <c:pt idx="2">
                    <c:v>3.0240785983068192E-2</c:v>
                  </c:pt>
                  <c:pt idx="3">
                    <c:v>3.0254468749283552E-2</c:v>
                  </c:pt>
                  <c:pt idx="4">
                    <c:v>4.3809222402592711E-2</c:v>
                  </c:pt>
                  <c:pt idx="5">
                    <c:v>2.0068634061319628E-2</c:v>
                  </c:pt>
                </c:numCache>
              </c:numRef>
            </c:plus>
            <c:minus>
              <c:numRef>
                <c:f>Analysis!$F$18:$F$23</c:f>
                <c:numCache>
                  <c:formatCode>General</c:formatCode>
                  <c:ptCount val="6"/>
                  <c:pt idx="0">
                    <c:v>3.7897069107914287E-2</c:v>
                  </c:pt>
                  <c:pt idx="1">
                    <c:v>2.8271809018025659E-2</c:v>
                  </c:pt>
                  <c:pt idx="2">
                    <c:v>3.0240785983068192E-2</c:v>
                  </c:pt>
                  <c:pt idx="3">
                    <c:v>3.0254468749283552E-2</c:v>
                  </c:pt>
                  <c:pt idx="4">
                    <c:v>4.3809222402592711E-2</c:v>
                  </c:pt>
                  <c:pt idx="5">
                    <c:v>2.0068634061319628E-2</c:v>
                  </c:pt>
                </c:numCache>
              </c:numRef>
            </c:minus>
            <c:spPr>
              <a:ln w="9360">
                <a:solidFill>
                  <a:srgbClr val="000000"/>
                </a:solidFill>
                <a:round/>
              </a:ln>
            </c:spPr>
          </c:errBars>
          <c:cat>
            <c:strRef>
              <c:f>Analysis!$A$18:$A$23</c:f>
              <c:strCache>
                <c:ptCount val="6"/>
                <c:pt idx="0">
                  <c:v>VS1</c:v>
                </c:pt>
                <c:pt idx="1">
                  <c:v>VS2</c:v>
                </c:pt>
                <c:pt idx="2">
                  <c:v>VS3</c:v>
                </c:pt>
                <c:pt idx="3">
                  <c:v>VS4</c:v>
                </c:pt>
                <c:pt idx="4">
                  <c:v>VS5</c:v>
                </c:pt>
                <c:pt idx="5">
                  <c:v>Group</c:v>
                </c:pt>
              </c:strCache>
            </c:strRef>
          </c:cat>
          <c:val>
            <c:numRef>
              <c:f>Analysis!$B$18:$B$23</c:f>
              <c:numCache>
                <c:formatCode>0.000</c:formatCode>
                <c:ptCount val="6"/>
                <c:pt idx="0">
                  <c:v>1.4749116488746949</c:v>
                </c:pt>
                <c:pt idx="1">
                  <c:v>1.3937785682526047</c:v>
                </c:pt>
                <c:pt idx="2">
                  <c:v>1.4076687261976493</c:v>
                </c:pt>
                <c:pt idx="3">
                  <c:v>1.3499957328247021</c:v>
                </c:pt>
                <c:pt idx="4">
                  <c:v>1.4114551684383223</c:v>
                </c:pt>
                <c:pt idx="5">
                  <c:v>1.4075619689175947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5-204D-8CDC-2BD08C930CE8}"/>
            </c:ext>
          </c:extLst>
        </c:ser>
        <c:ser>
          <c:idx val="1"/>
          <c:order val="1"/>
          <c:tx>
            <c:strRef>
              <c:f>Analysis!$C$17</c:f>
              <c:strCache>
                <c:ptCount val="1"/>
                <c:pt idx="0">
                  <c:v>Set size 10</c:v>
                </c:pt>
              </c:strCache>
            </c:strRef>
          </c:tx>
          <c:spPr>
            <a:solidFill>
              <a:srgbClr val="2171B5"/>
            </a:solidFill>
            <a:ln w="6480">
              <a:solidFill>
                <a:srgbClr val="33333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BarType val="both"/>
            <c:errValType val="cust"/>
            <c:noEndCap val="0"/>
            <c:plus>
              <c:numRef>
                <c:f>Analysis!$G$18:$G$23</c:f>
                <c:numCache>
                  <c:formatCode>General</c:formatCode>
                  <c:ptCount val="6"/>
                  <c:pt idx="0">
                    <c:v>5.912946896014934E-2</c:v>
                  </c:pt>
                  <c:pt idx="1">
                    <c:v>4.2780398246457109E-2</c:v>
                  </c:pt>
                  <c:pt idx="2">
                    <c:v>3.8272034185966905E-2</c:v>
                  </c:pt>
                  <c:pt idx="3">
                    <c:v>4.7816429674316929E-2</c:v>
                  </c:pt>
                  <c:pt idx="4">
                    <c:v>3.6152040077750455E-2</c:v>
                  </c:pt>
                  <c:pt idx="5">
                    <c:v>4.4825541037437994E-2</c:v>
                  </c:pt>
                </c:numCache>
              </c:numRef>
            </c:plus>
            <c:minus>
              <c:numRef>
                <c:f>Analysis!$G$18:$G$23</c:f>
                <c:numCache>
                  <c:formatCode>General</c:formatCode>
                  <c:ptCount val="6"/>
                  <c:pt idx="0">
                    <c:v>5.912946896014934E-2</c:v>
                  </c:pt>
                  <c:pt idx="1">
                    <c:v>4.2780398246457109E-2</c:v>
                  </c:pt>
                  <c:pt idx="2">
                    <c:v>3.8272034185966905E-2</c:v>
                  </c:pt>
                  <c:pt idx="3">
                    <c:v>4.7816429674316929E-2</c:v>
                  </c:pt>
                  <c:pt idx="4">
                    <c:v>3.6152040077750455E-2</c:v>
                  </c:pt>
                  <c:pt idx="5">
                    <c:v>4.4825541037437994E-2</c:v>
                  </c:pt>
                </c:numCache>
              </c:numRef>
            </c:minus>
            <c:spPr>
              <a:ln w="9360">
                <a:solidFill>
                  <a:srgbClr val="000000"/>
                </a:solidFill>
                <a:round/>
              </a:ln>
            </c:spPr>
          </c:errBars>
          <c:cat>
            <c:strRef>
              <c:f>Analysis!$A$18:$A$23</c:f>
              <c:strCache>
                <c:ptCount val="6"/>
                <c:pt idx="0">
                  <c:v>VS1</c:v>
                </c:pt>
                <c:pt idx="1">
                  <c:v>VS2</c:v>
                </c:pt>
                <c:pt idx="2">
                  <c:v>VS3</c:v>
                </c:pt>
                <c:pt idx="3">
                  <c:v>VS4</c:v>
                </c:pt>
                <c:pt idx="4">
                  <c:v>VS5</c:v>
                </c:pt>
                <c:pt idx="5">
                  <c:v>Group</c:v>
                </c:pt>
              </c:strCache>
            </c:strRef>
          </c:cat>
          <c:val>
            <c:numRef>
              <c:f>Analysis!$C$18:$C$23</c:f>
              <c:numCache>
                <c:formatCode>0.000</c:formatCode>
                <c:ptCount val="6"/>
                <c:pt idx="0">
                  <c:v>1.740939948162292</c:v>
                </c:pt>
                <c:pt idx="1">
                  <c:v>1.5414125127844647</c:v>
                </c:pt>
                <c:pt idx="2">
                  <c:v>1.6099445404332726</c:v>
                </c:pt>
                <c:pt idx="3">
                  <c:v>1.5135966634626021</c:v>
                </c:pt>
                <c:pt idx="4">
                  <c:v>1.4934556323053203</c:v>
                </c:pt>
                <c:pt idx="5">
                  <c:v>1.5798698594295904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A5-204D-8CDC-2BD08C930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3719190"/>
        <c:axId val="31585802"/>
      </c:barChart>
      <c:catAx>
        <c:axId val="637191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585802"/>
        <c:crosses val="autoZero"/>
        <c:auto val="1"/>
        <c:lblAlgn val="ctr"/>
        <c:lblOffset val="100"/>
        <c:noMultiLvlLbl val="0"/>
      </c:catAx>
      <c:valAx>
        <c:axId val="31585802"/>
        <c:scaling>
          <c:orientation val="minMax"/>
          <c:max val="2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Mean RT of accurate trials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719190"/>
        <c:crosses val="autoZero"/>
        <c:crossBetween val="between"/>
        <c:majorUnit val="0.25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RT × set size function per participant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Analysis!$B$26</c:f>
              <c:strCache>
                <c:ptCount val="1"/>
                <c:pt idx="0">
                  <c:v>VS1 (53.2 ms/item)</c:v>
                </c:pt>
              </c:strCache>
            </c:strRef>
          </c:tx>
          <c:spPr>
            <a:ln w="15840">
              <a:solidFill>
                <a:srgbClr val="1F77B4"/>
              </a:solidFill>
              <a:round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Analysis!$B$27:$B$28</c:f>
              <c:numCache>
                <c:formatCode>0.000</c:formatCode>
                <c:ptCount val="2"/>
                <c:pt idx="0">
                  <c:v>1.4749116488746949</c:v>
                </c:pt>
                <c:pt idx="1">
                  <c:v>1.740939948162292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DC-484D-8862-A8F308962842}"/>
            </c:ext>
          </c:extLst>
        </c:ser>
        <c:ser>
          <c:idx val="1"/>
          <c:order val="1"/>
          <c:tx>
            <c:strRef>
              <c:f>Analysis!$C$26</c:f>
              <c:strCache>
                <c:ptCount val="1"/>
                <c:pt idx="0">
                  <c:v>VS2 (29.5 ms/item)</c:v>
                </c:pt>
              </c:strCache>
            </c:strRef>
          </c:tx>
          <c:spPr>
            <a:ln w="15840">
              <a:solidFill>
                <a:srgbClr val="FF7F0E"/>
              </a:solidFill>
              <a:round/>
            </a:ln>
          </c:spPr>
          <c:marker>
            <c:symbol val="circle"/>
            <c:size val="6"/>
            <c:spPr>
              <a:solidFill>
                <a:srgbClr val="FF7F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Analysis!$C$27:$C$28</c:f>
              <c:numCache>
                <c:formatCode>0.000</c:formatCode>
                <c:ptCount val="2"/>
                <c:pt idx="0">
                  <c:v>1.3937785682526047</c:v>
                </c:pt>
                <c:pt idx="1">
                  <c:v>1.5414125127844647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C-484D-8862-A8F308962842}"/>
            </c:ext>
          </c:extLst>
        </c:ser>
        <c:ser>
          <c:idx val="2"/>
          <c:order val="2"/>
          <c:tx>
            <c:strRef>
              <c:f>Analysis!$D$26</c:f>
              <c:strCache>
                <c:ptCount val="1"/>
                <c:pt idx="0">
                  <c:v>VS3 (40.5 ms/item)</c:v>
                </c:pt>
              </c:strCache>
            </c:strRef>
          </c:tx>
          <c:spPr>
            <a:ln w="15840">
              <a:solidFill>
                <a:srgbClr val="2CA02C"/>
              </a:solidFill>
              <a:round/>
            </a:ln>
          </c:spPr>
          <c:marker>
            <c:symbol val="circle"/>
            <c:size val="6"/>
            <c:spPr>
              <a:solidFill>
                <a:srgbClr val="2CA02C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Analysis!$D$27:$D$28</c:f>
              <c:numCache>
                <c:formatCode>0.000</c:formatCode>
                <c:ptCount val="2"/>
                <c:pt idx="0">
                  <c:v>1.4076687261976493</c:v>
                </c:pt>
                <c:pt idx="1">
                  <c:v>1.6099445404332726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DC-484D-8862-A8F308962842}"/>
            </c:ext>
          </c:extLst>
        </c:ser>
        <c:ser>
          <c:idx val="3"/>
          <c:order val="3"/>
          <c:tx>
            <c:strRef>
              <c:f>Analysis!$E$26</c:f>
              <c:strCache>
                <c:ptCount val="1"/>
                <c:pt idx="0">
                  <c:v>VS4 (32.7 ms/item)</c:v>
                </c:pt>
              </c:strCache>
            </c:strRef>
          </c:tx>
          <c:spPr>
            <a:ln w="15840">
              <a:solidFill>
                <a:srgbClr val="D62728"/>
              </a:solidFill>
              <a:round/>
            </a:ln>
          </c:spPr>
          <c:marker>
            <c:symbol val="circle"/>
            <c:size val="6"/>
            <c:spPr>
              <a:solidFill>
                <a:srgbClr val="D6272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Analysis!$E$27:$E$28</c:f>
              <c:numCache>
                <c:formatCode>0.000</c:formatCode>
                <c:ptCount val="2"/>
                <c:pt idx="0">
                  <c:v>1.3499957328247021</c:v>
                </c:pt>
                <c:pt idx="1">
                  <c:v>1.5135966634626021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DC-484D-8862-A8F308962842}"/>
            </c:ext>
          </c:extLst>
        </c:ser>
        <c:ser>
          <c:idx val="4"/>
          <c:order val="4"/>
          <c:tx>
            <c:strRef>
              <c:f>Analysis!$F$26</c:f>
              <c:strCache>
                <c:ptCount val="1"/>
                <c:pt idx="0">
                  <c:v>VS5 (16.4 ms/item)</c:v>
                </c:pt>
              </c:strCache>
            </c:strRef>
          </c:tx>
          <c:spPr>
            <a:ln w="15840">
              <a:solidFill>
                <a:srgbClr val="9467BD"/>
              </a:solidFill>
              <a:round/>
            </a:ln>
          </c:spPr>
          <c:marker>
            <c:symbol val="circle"/>
            <c:size val="6"/>
            <c:spPr>
              <a:solidFill>
                <a:srgbClr val="9467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Analysis!$F$27:$F$28</c:f>
              <c:numCache>
                <c:formatCode>0.000</c:formatCode>
                <c:ptCount val="2"/>
                <c:pt idx="0">
                  <c:v>1.4114551684383223</c:v>
                </c:pt>
                <c:pt idx="1">
                  <c:v>1.4934556323053203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DC-484D-8862-A8F308962842}"/>
            </c:ext>
          </c:extLst>
        </c:ser>
        <c:ser>
          <c:idx val="5"/>
          <c:order val="5"/>
          <c:tx>
            <c:strRef>
              <c:f>Analysis!$G$26</c:f>
              <c:strCache>
                <c:ptCount val="1"/>
                <c:pt idx="0">
                  <c:v>Group (34.5 ms/item)</c:v>
                </c:pt>
              </c:strCache>
            </c:strRef>
          </c:tx>
          <c:spPr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Analysis!$A$27:$A$28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Analysis!$G$27:$G$28</c:f>
              <c:numCache>
                <c:formatCode>0.000</c:formatCode>
                <c:ptCount val="2"/>
                <c:pt idx="0">
                  <c:v>1.4075619689175947</c:v>
                </c:pt>
                <c:pt idx="1">
                  <c:v>1.5798698594295904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DC-484D-8862-A8F308962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2260920"/>
        <c:axId val="34013515"/>
      </c:lineChart>
      <c:catAx>
        <c:axId val="122609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Set size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013515"/>
        <c:crosses val="autoZero"/>
        <c:auto val="1"/>
        <c:lblAlgn val="ctr"/>
        <c:lblOffset val="100"/>
        <c:noMultiLvlLbl val="0"/>
      </c:catAx>
      <c:valAx>
        <c:axId val="34013515"/>
        <c:scaling>
          <c:orientation val="minMax"/>
          <c:max val="1.8"/>
          <c:min val="1.3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Mean RT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2609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14</xdr:row>
      <xdr:rowOff>175680</xdr:rowOff>
    </xdr:from>
    <xdr:to>
      <xdr:col>18</xdr:col>
      <xdr:colOff>474840</xdr:colOff>
      <xdr:row>32</xdr:row>
      <xdr:rowOff>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35</xdr:row>
      <xdr:rowOff>25560</xdr:rowOff>
    </xdr:from>
    <xdr:to>
      <xdr:col>16</xdr:col>
      <xdr:colOff>258120</xdr:colOff>
      <xdr:row>54</xdr:row>
      <xdr:rowOff>5760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zoomScaleNormal="100" workbookViewId="0">
      <pane ySplit="1" topLeftCell="A389" activePane="bottomLeft" state="frozen"/>
      <selection pane="bottomLeft" sqref="A1:XFD1"/>
    </sheetView>
  </sheetViews>
  <sheetFormatPr baseColWidth="10" defaultColWidth="8.6640625" defaultRowHeight="15" x14ac:dyDescent="0.2"/>
  <cols>
    <col min="1" max="1" width="11" customWidth="1"/>
    <col min="2" max="2" width="7" customWidth="1"/>
    <col min="3" max="3" width="14" customWidth="1"/>
    <col min="4" max="4" width="9" customWidth="1"/>
    <col min="5" max="5" width="14" customWidth="1"/>
    <col min="6" max="6" width="16" customWidth="1"/>
    <col min="7" max="8" width="22" customWidth="1"/>
    <col min="9" max="9" width="14" customWidth="1"/>
    <col min="10" max="10" width="22" customWidth="1"/>
    <col min="11" max="12" width="12" customWidth="1"/>
    <col min="13" max="13" width="11" customWidth="1"/>
  </cols>
  <sheetData>
    <row r="1" spans="1:13" s="15" customFormat="1" ht="46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</row>
    <row r="2" spans="1:13" x14ac:dyDescent="0.2">
      <c r="A2" s="2" t="s">
        <v>13</v>
      </c>
      <c r="B2" s="2">
        <v>1</v>
      </c>
      <c r="C2" s="2">
        <v>10</v>
      </c>
      <c r="D2" s="2">
        <v>1</v>
      </c>
      <c r="E2" s="2">
        <v>1</v>
      </c>
      <c r="F2" s="2">
        <v>1.42072900000494</v>
      </c>
      <c r="G2" s="2" t="s">
        <v>14</v>
      </c>
      <c r="H2" s="2" t="s">
        <v>15</v>
      </c>
      <c r="I2" s="2" t="s">
        <v>16</v>
      </c>
      <c r="J2" s="2" t="s">
        <v>17</v>
      </c>
      <c r="K2" s="2">
        <v>0.51818383333738904</v>
      </c>
      <c r="L2" s="2">
        <v>1.9389425417175501</v>
      </c>
      <c r="M2" s="2">
        <v>59.917224386866799</v>
      </c>
    </row>
    <row r="3" spans="1:13" x14ac:dyDescent="0.2">
      <c r="A3" s="2" t="s">
        <v>13</v>
      </c>
      <c r="B3" s="2">
        <v>2</v>
      </c>
      <c r="C3" s="2">
        <v>5</v>
      </c>
      <c r="D3" s="2">
        <v>1</v>
      </c>
      <c r="E3" s="2">
        <v>1</v>
      </c>
      <c r="F3" s="2">
        <v>1.0965324166463699</v>
      </c>
      <c r="G3" s="2" t="s">
        <v>18</v>
      </c>
      <c r="H3" s="2" t="s">
        <v>19</v>
      </c>
      <c r="I3" s="2" t="s">
        <v>16</v>
      </c>
      <c r="J3" s="2" t="s">
        <v>20</v>
      </c>
      <c r="K3" s="2">
        <v>1.94238179165404</v>
      </c>
      <c r="L3" s="2">
        <v>3.0389769166940801</v>
      </c>
      <c r="M3" s="2">
        <v>59.917224386866799</v>
      </c>
    </row>
    <row r="4" spans="1:13" x14ac:dyDescent="0.2">
      <c r="A4" s="2" t="s">
        <v>13</v>
      </c>
      <c r="B4" s="2">
        <v>3</v>
      </c>
      <c r="C4" s="2">
        <v>5</v>
      </c>
      <c r="D4" s="2">
        <v>2</v>
      </c>
      <c r="E4" s="2">
        <v>0</v>
      </c>
      <c r="F4" s="2">
        <v>2.5458348334068401</v>
      </c>
      <c r="G4" s="2" t="s">
        <v>21</v>
      </c>
      <c r="H4" s="2" t="s">
        <v>22</v>
      </c>
      <c r="I4" s="2" t="s">
        <v>23</v>
      </c>
      <c r="J4" s="2" t="s">
        <v>24</v>
      </c>
      <c r="K4" s="2">
        <v>3.043450791738</v>
      </c>
      <c r="L4" s="2">
        <v>5.5893332500709203</v>
      </c>
      <c r="M4" s="2">
        <v>59.917224386866799</v>
      </c>
    </row>
    <row r="5" spans="1:13" x14ac:dyDescent="0.2">
      <c r="A5" s="2" t="s">
        <v>13</v>
      </c>
      <c r="B5" s="2">
        <v>4</v>
      </c>
      <c r="C5" s="2">
        <v>5</v>
      </c>
      <c r="D5" s="2">
        <v>1</v>
      </c>
      <c r="E5" s="2">
        <v>1</v>
      </c>
      <c r="F5" s="2">
        <v>1.27727770828642</v>
      </c>
      <c r="G5" s="2" t="s">
        <v>25</v>
      </c>
      <c r="H5" s="2" t="s">
        <v>26</v>
      </c>
      <c r="I5" s="2" t="s">
        <v>16</v>
      </c>
      <c r="J5" s="2" t="s">
        <v>27</v>
      </c>
      <c r="K5" s="2">
        <v>5.5949344167020199</v>
      </c>
      <c r="L5" s="2">
        <v>6.8722405417356596</v>
      </c>
      <c r="M5" s="2">
        <v>59.917224386866799</v>
      </c>
    </row>
    <row r="6" spans="1:13" x14ac:dyDescent="0.2">
      <c r="A6" s="2" t="s">
        <v>13</v>
      </c>
      <c r="B6" s="2">
        <v>5</v>
      </c>
      <c r="C6" s="2">
        <v>5</v>
      </c>
      <c r="D6" s="2">
        <v>1</v>
      </c>
      <c r="E6" s="2">
        <v>1</v>
      </c>
      <c r="F6" s="2">
        <v>1.27825533330906</v>
      </c>
      <c r="G6" s="2" t="s">
        <v>28</v>
      </c>
      <c r="H6" s="2" t="s">
        <v>29</v>
      </c>
      <c r="I6" s="2" t="s">
        <v>16</v>
      </c>
      <c r="J6" s="2" t="s">
        <v>30</v>
      </c>
      <c r="K6" s="2">
        <v>6.8773182500153798</v>
      </c>
      <c r="L6" s="2">
        <v>8.15560645831283</v>
      </c>
      <c r="M6" s="2">
        <v>59.917224386866799</v>
      </c>
    </row>
    <row r="7" spans="1:13" x14ac:dyDescent="0.2">
      <c r="A7" s="2" t="s">
        <v>13</v>
      </c>
      <c r="B7" s="2">
        <v>6</v>
      </c>
      <c r="C7" s="2">
        <v>5</v>
      </c>
      <c r="D7" s="2">
        <v>1</v>
      </c>
      <c r="E7" s="2">
        <v>1</v>
      </c>
      <c r="F7" s="2">
        <v>1.0795345000224199</v>
      </c>
      <c r="G7" s="2" t="s">
        <v>31</v>
      </c>
      <c r="H7" s="2" t="s">
        <v>32</v>
      </c>
      <c r="I7" s="2" t="s">
        <v>16</v>
      </c>
      <c r="J7" s="2" t="s">
        <v>33</v>
      </c>
      <c r="K7" s="2">
        <v>8.1598802083171904</v>
      </c>
      <c r="L7" s="2">
        <v>9.2394545417046192</v>
      </c>
      <c r="M7" s="2">
        <v>59.917224386866799</v>
      </c>
    </row>
    <row r="8" spans="1:13" x14ac:dyDescent="0.2">
      <c r="A8" s="2" t="s">
        <v>13</v>
      </c>
      <c r="B8" s="2">
        <v>7</v>
      </c>
      <c r="C8" s="2">
        <v>5</v>
      </c>
      <c r="D8" s="2">
        <v>1</v>
      </c>
      <c r="E8" s="2">
        <v>1</v>
      </c>
      <c r="F8" s="2">
        <v>1.0942331249825701</v>
      </c>
      <c r="G8" s="2" t="s">
        <v>34</v>
      </c>
      <c r="H8" s="2" t="s">
        <v>35</v>
      </c>
      <c r="I8" s="2" t="s">
        <v>16</v>
      </c>
      <c r="J8" s="2" t="s">
        <v>36</v>
      </c>
      <c r="K8" s="2">
        <v>9.2447947916807607</v>
      </c>
      <c r="L8" s="2">
        <v>10.339057625038601</v>
      </c>
      <c r="M8" s="2">
        <v>59.917224386866799</v>
      </c>
    </row>
    <row r="9" spans="1:13" x14ac:dyDescent="0.2">
      <c r="A9" s="2" t="s">
        <v>13</v>
      </c>
      <c r="B9" s="2">
        <v>8</v>
      </c>
      <c r="C9" s="2">
        <v>10</v>
      </c>
      <c r="D9" s="2">
        <v>1</v>
      </c>
      <c r="E9" s="2">
        <v>1</v>
      </c>
      <c r="F9" s="2">
        <v>1.35863104171585</v>
      </c>
      <c r="G9" s="2" t="s">
        <v>37</v>
      </c>
      <c r="H9" s="2" t="s">
        <v>38</v>
      </c>
      <c r="I9" s="2" t="s">
        <v>16</v>
      </c>
      <c r="J9" s="2" t="s">
        <v>39</v>
      </c>
      <c r="K9" s="2">
        <v>10.3469944166718</v>
      </c>
      <c r="L9" s="2">
        <v>11.7056587083498</v>
      </c>
      <c r="M9" s="2">
        <v>59.917224386866799</v>
      </c>
    </row>
    <row r="10" spans="1:13" x14ac:dyDescent="0.2">
      <c r="A10" s="2" t="s">
        <v>13</v>
      </c>
      <c r="B10" s="2">
        <v>9</v>
      </c>
      <c r="C10" s="2">
        <v>5</v>
      </c>
      <c r="D10" s="2">
        <v>1</v>
      </c>
      <c r="E10" s="2">
        <v>1</v>
      </c>
      <c r="F10" s="2">
        <v>1.4955501250224199</v>
      </c>
      <c r="G10" s="2" t="s">
        <v>40</v>
      </c>
      <c r="H10" s="2" t="s">
        <v>41</v>
      </c>
      <c r="I10" s="2" t="s">
        <v>16</v>
      </c>
      <c r="J10" s="2" t="s">
        <v>42</v>
      </c>
      <c r="K10" s="2">
        <v>11.710043166647701</v>
      </c>
      <c r="L10" s="2">
        <v>13.2056328334147</v>
      </c>
      <c r="M10" s="2">
        <v>59.917224386866799</v>
      </c>
    </row>
    <row r="11" spans="1:13" x14ac:dyDescent="0.2">
      <c r="A11" s="2" t="s">
        <v>13</v>
      </c>
      <c r="B11" s="2">
        <v>10</v>
      </c>
      <c r="C11" s="2">
        <v>5</v>
      </c>
      <c r="D11" s="2">
        <v>1</v>
      </c>
      <c r="E11" s="2">
        <v>1</v>
      </c>
      <c r="F11" s="2">
        <v>1.2953000416746401</v>
      </c>
      <c r="G11" s="2" t="s">
        <v>43</v>
      </c>
      <c r="H11" s="2" t="s">
        <v>44</v>
      </c>
      <c r="I11" s="2" t="s">
        <v>16</v>
      </c>
      <c r="J11" s="2" t="s">
        <v>45</v>
      </c>
      <c r="K11" s="2">
        <v>13.210454083397099</v>
      </c>
      <c r="L11" s="2">
        <v>14.505789083312299</v>
      </c>
      <c r="M11" s="2">
        <v>59.917224386866799</v>
      </c>
    </row>
    <row r="12" spans="1:13" x14ac:dyDescent="0.2">
      <c r="A12" s="2" t="s">
        <v>13</v>
      </c>
      <c r="B12" s="2">
        <v>11</v>
      </c>
      <c r="C12" s="2">
        <v>5</v>
      </c>
      <c r="D12" s="2">
        <v>1</v>
      </c>
      <c r="E12" s="2">
        <v>1</v>
      </c>
      <c r="F12" s="2">
        <v>0.87865837500430599</v>
      </c>
      <c r="G12" s="2" t="s">
        <v>46</v>
      </c>
      <c r="H12" s="2" t="s">
        <v>47</v>
      </c>
      <c r="I12" s="2" t="s">
        <v>16</v>
      </c>
      <c r="J12" s="2" t="s">
        <v>48</v>
      </c>
      <c r="K12" s="2">
        <v>14.5102201250847</v>
      </c>
      <c r="L12" s="2">
        <v>15.3889049583813</v>
      </c>
      <c r="M12" s="2">
        <v>59.917224386866799</v>
      </c>
    </row>
    <row r="13" spans="1:13" x14ac:dyDescent="0.2">
      <c r="A13" s="2" t="s">
        <v>13</v>
      </c>
      <c r="B13" s="2">
        <v>12</v>
      </c>
      <c r="C13" s="2">
        <v>10</v>
      </c>
      <c r="D13" s="2">
        <v>1</v>
      </c>
      <c r="E13" s="2">
        <v>1</v>
      </c>
      <c r="F13" s="2">
        <v>1.0248672083253001</v>
      </c>
      <c r="G13" s="2" t="s">
        <v>49</v>
      </c>
      <c r="H13" s="2" t="s">
        <v>50</v>
      </c>
      <c r="I13" s="2" t="s">
        <v>16</v>
      </c>
      <c r="J13" s="2" t="s">
        <v>51</v>
      </c>
      <c r="K13" s="2">
        <v>15.397221666644301</v>
      </c>
      <c r="L13" s="2">
        <v>16.422121083363901</v>
      </c>
      <c r="M13" s="2">
        <v>59.917224386866799</v>
      </c>
    </row>
    <row r="14" spans="1:13" x14ac:dyDescent="0.2">
      <c r="A14" s="2" t="s">
        <v>13</v>
      </c>
      <c r="B14" s="2">
        <v>13</v>
      </c>
      <c r="C14" s="2">
        <v>5</v>
      </c>
      <c r="D14" s="2">
        <v>1</v>
      </c>
      <c r="E14" s="2">
        <v>1</v>
      </c>
      <c r="F14" s="2">
        <v>1.1619104583514901</v>
      </c>
      <c r="G14" s="2" t="s">
        <v>52</v>
      </c>
      <c r="H14" s="2" t="s">
        <v>53</v>
      </c>
      <c r="I14" s="2" t="s">
        <v>16</v>
      </c>
      <c r="J14" s="2" t="s">
        <v>54</v>
      </c>
      <c r="K14" s="2">
        <v>16.426943875034301</v>
      </c>
      <c r="L14" s="2">
        <v>17.588909708312698</v>
      </c>
      <c r="M14" s="2">
        <v>59.917224386866799</v>
      </c>
    </row>
    <row r="15" spans="1:13" x14ac:dyDescent="0.2">
      <c r="A15" s="2" t="s">
        <v>13</v>
      </c>
      <c r="B15" s="2">
        <v>14</v>
      </c>
      <c r="C15" s="2">
        <v>10</v>
      </c>
      <c r="D15" s="2">
        <v>1</v>
      </c>
      <c r="E15" s="2">
        <v>1</v>
      </c>
      <c r="F15" s="2">
        <v>1.10870650003199</v>
      </c>
      <c r="G15" s="2" t="s">
        <v>55</v>
      </c>
      <c r="H15" s="2" t="s">
        <v>56</v>
      </c>
      <c r="I15" s="2" t="s">
        <v>16</v>
      </c>
      <c r="J15" s="2" t="s">
        <v>57</v>
      </c>
      <c r="K15" s="2">
        <v>17.597093166667001</v>
      </c>
      <c r="L15" s="2">
        <v>18.705838041729301</v>
      </c>
      <c r="M15" s="2">
        <v>59.917224386866799</v>
      </c>
    </row>
    <row r="16" spans="1:13" x14ac:dyDescent="0.2">
      <c r="A16" s="2" t="s">
        <v>13</v>
      </c>
      <c r="B16" s="2">
        <v>15</v>
      </c>
      <c r="C16" s="2">
        <v>10</v>
      </c>
      <c r="D16" s="2">
        <v>1</v>
      </c>
      <c r="E16" s="2">
        <v>1</v>
      </c>
      <c r="F16" s="2">
        <v>1.15884420834482</v>
      </c>
      <c r="G16" s="2" t="s">
        <v>58</v>
      </c>
      <c r="H16" s="2" t="s">
        <v>59</v>
      </c>
      <c r="I16" s="2" t="s">
        <v>16</v>
      </c>
      <c r="J16" s="2" t="s">
        <v>60</v>
      </c>
      <c r="K16" s="2">
        <v>18.7140507500153</v>
      </c>
      <c r="L16" s="2">
        <v>19.872938708402199</v>
      </c>
      <c r="M16" s="2">
        <v>59.917224386866799</v>
      </c>
    </row>
    <row r="17" spans="1:13" x14ac:dyDescent="0.2">
      <c r="A17" s="2" t="s">
        <v>13</v>
      </c>
      <c r="B17" s="2">
        <v>16</v>
      </c>
      <c r="C17" s="2">
        <v>10</v>
      </c>
      <c r="D17" s="2">
        <v>1</v>
      </c>
      <c r="E17" s="2">
        <v>1</v>
      </c>
      <c r="F17" s="2">
        <v>1.6229814167600101</v>
      </c>
      <c r="G17" s="2" t="s">
        <v>61</v>
      </c>
      <c r="H17" s="2" t="s">
        <v>62</v>
      </c>
      <c r="I17" s="2" t="s">
        <v>16</v>
      </c>
      <c r="J17" s="2" t="s">
        <v>63</v>
      </c>
      <c r="K17" s="2">
        <v>19.882698625093301</v>
      </c>
      <c r="L17" s="2">
        <v>21.5057119583944</v>
      </c>
      <c r="M17" s="2">
        <v>59.917224386866799</v>
      </c>
    </row>
    <row r="18" spans="1:13" x14ac:dyDescent="0.2">
      <c r="A18" s="2" t="s">
        <v>13</v>
      </c>
      <c r="B18" s="2">
        <v>17</v>
      </c>
      <c r="C18" s="2">
        <v>10</v>
      </c>
      <c r="D18" s="2">
        <v>1</v>
      </c>
      <c r="E18" s="2">
        <v>1</v>
      </c>
      <c r="F18" s="2">
        <v>1.5251915416447499</v>
      </c>
      <c r="G18" s="2" t="s">
        <v>64</v>
      </c>
      <c r="H18" s="2" t="s">
        <v>65</v>
      </c>
      <c r="I18" s="2" t="s">
        <v>16</v>
      </c>
      <c r="J18" s="2" t="s">
        <v>66</v>
      </c>
      <c r="K18" s="2">
        <v>21.513761416659701</v>
      </c>
      <c r="L18" s="2">
        <v>23.038997250026998</v>
      </c>
      <c r="M18" s="2">
        <v>59.917224386866799</v>
      </c>
    </row>
    <row r="19" spans="1:13" x14ac:dyDescent="0.2">
      <c r="A19" s="2" t="s">
        <v>13</v>
      </c>
      <c r="B19" s="2">
        <v>18</v>
      </c>
      <c r="C19" s="2">
        <v>5</v>
      </c>
      <c r="D19" s="2">
        <v>1</v>
      </c>
      <c r="E19" s="2">
        <v>1</v>
      </c>
      <c r="F19" s="2">
        <v>1.3592730417149099</v>
      </c>
      <c r="G19" s="2" t="s">
        <v>67</v>
      </c>
      <c r="H19" s="2" t="s">
        <v>68</v>
      </c>
      <c r="I19" s="2" t="s">
        <v>16</v>
      </c>
      <c r="J19" s="2" t="s">
        <v>69</v>
      </c>
      <c r="K19" s="2">
        <v>23.042755750007899</v>
      </c>
      <c r="L19" s="2">
        <v>24.402085916721301</v>
      </c>
      <c r="M19" s="2">
        <v>59.917224386866799</v>
      </c>
    </row>
    <row r="20" spans="1:13" x14ac:dyDescent="0.2">
      <c r="A20" s="2" t="s">
        <v>13</v>
      </c>
      <c r="B20" s="2">
        <v>19</v>
      </c>
      <c r="C20" s="2">
        <v>10</v>
      </c>
      <c r="D20" s="2">
        <v>1</v>
      </c>
      <c r="E20" s="2">
        <v>1</v>
      </c>
      <c r="F20" s="2">
        <v>1.8118026666343201</v>
      </c>
      <c r="G20" s="2" t="s">
        <v>70</v>
      </c>
      <c r="H20" s="2" t="s">
        <v>71</v>
      </c>
      <c r="I20" s="2" t="s">
        <v>16</v>
      </c>
      <c r="J20" s="2" t="s">
        <v>72</v>
      </c>
      <c r="K20" s="2">
        <v>24.410448750015401</v>
      </c>
      <c r="L20" s="2">
        <v>26.222304375027299</v>
      </c>
      <c r="M20" s="2">
        <v>59.917224386866799</v>
      </c>
    </row>
    <row r="21" spans="1:13" x14ac:dyDescent="0.2">
      <c r="A21" s="2" t="s">
        <v>13</v>
      </c>
      <c r="B21" s="2">
        <v>20</v>
      </c>
      <c r="C21" s="2">
        <v>5</v>
      </c>
      <c r="D21" s="2">
        <v>1</v>
      </c>
      <c r="E21" s="2">
        <v>1</v>
      </c>
      <c r="F21" s="2">
        <v>1.8621981249889401</v>
      </c>
      <c r="G21" s="2" t="s">
        <v>73</v>
      </c>
      <c r="H21" s="2" t="s">
        <v>74</v>
      </c>
      <c r="I21" s="2" t="s">
        <v>16</v>
      </c>
      <c r="J21" s="2" t="s">
        <v>75</v>
      </c>
      <c r="K21" s="2">
        <v>26.22689095838</v>
      </c>
      <c r="L21" s="2">
        <v>28.089119541691598</v>
      </c>
      <c r="M21" s="2">
        <v>59.917224386866799</v>
      </c>
    </row>
    <row r="22" spans="1:13" x14ac:dyDescent="0.2">
      <c r="A22" s="2" t="s">
        <v>13</v>
      </c>
      <c r="B22" s="2">
        <v>21</v>
      </c>
      <c r="C22" s="2">
        <v>10</v>
      </c>
      <c r="D22" s="2">
        <v>1</v>
      </c>
      <c r="E22" s="2">
        <v>1</v>
      </c>
      <c r="F22" s="2">
        <v>1.4919727083761301</v>
      </c>
      <c r="G22" s="2" t="s">
        <v>76</v>
      </c>
      <c r="H22" s="2" t="s">
        <v>77</v>
      </c>
      <c r="I22" s="2" t="s">
        <v>16</v>
      </c>
      <c r="J22" s="2" t="s">
        <v>78</v>
      </c>
      <c r="K22" s="2">
        <v>28.097146625048499</v>
      </c>
      <c r="L22" s="2">
        <v>29.5891573333647</v>
      </c>
      <c r="M22" s="2">
        <v>59.917224386866799</v>
      </c>
    </row>
    <row r="23" spans="1:13" x14ac:dyDescent="0.2">
      <c r="A23" s="2" t="s">
        <v>13</v>
      </c>
      <c r="B23" s="2">
        <v>22</v>
      </c>
      <c r="C23" s="2">
        <v>10</v>
      </c>
      <c r="D23" s="2">
        <v>1</v>
      </c>
      <c r="E23" s="2">
        <v>1</v>
      </c>
      <c r="F23" s="2">
        <v>1.5067663750378399</v>
      </c>
      <c r="G23" s="2" t="s">
        <v>79</v>
      </c>
      <c r="H23" s="2" t="s">
        <v>80</v>
      </c>
      <c r="I23" s="2" t="s">
        <v>16</v>
      </c>
      <c r="J23" s="2" t="s">
        <v>81</v>
      </c>
      <c r="K23" s="2">
        <v>29.5987282500137</v>
      </c>
      <c r="L23" s="2">
        <v>31.105535875074601</v>
      </c>
      <c r="M23" s="2">
        <v>59.917224386866799</v>
      </c>
    </row>
    <row r="24" spans="1:13" x14ac:dyDescent="0.2">
      <c r="A24" s="2" t="s">
        <v>13</v>
      </c>
      <c r="B24" s="2">
        <v>23</v>
      </c>
      <c r="C24" s="2">
        <v>5</v>
      </c>
      <c r="D24" s="2">
        <v>1</v>
      </c>
      <c r="E24" s="2">
        <v>1</v>
      </c>
      <c r="F24" s="2">
        <v>1.0787684167735301</v>
      </c>
      <c r="G24" s="2" t="s">
        <v>14</v>
      </c>
      <c r="H24" s="2" t="s">
        <v>82</v>
      </c>
      <c r="I24" s="2" t="s">
        <v>16</v>
      </c>
      <c r="J24" s="2" t="s">
        <v>83</v>
      </c>
      <c r="K24" s="2">
        <v>31.109981291694599</v>
      </c>
      <c r="L24" s="2">
        <v>32.188842208357499</v>
      </c>
      <c r="M24" s="2">
        <v>59.917224386866799</v>
      </c>
    </row>
    <row r="25" spans="1:13" x14ac:dyDescent="0.2">
      <c r="A25" s="2" t="s">
        <v>13</v>
      </c>
      <c r="B25" s="2">
        <v>24</v>
      </c>
      <c r="C25" s="2">
        <v>10</v>
      </c>
      <c r="D25" s="2">
        <v>1</v>
      </c>
      <c r="E25" s="2">
        <v>1</v>
      </c>
      <c r="F25" s="2">
        <v>1.90880087495316</v>
      </c>
      <c r="G25" s="2" t="s">
        <v>84</v>
      </c>
      <c r="H25" s="2" t="s">
        <v>85</v>
      </c>
      <c r="I25" s="2" t="s">
        <v>16</v>
      </c>
      <c r="J25" s="2" t="s">
        <v>86</v>
      </c>
      <c r="K25" s="2">
        <v>32.196632083388998</v>
      </c>
      <c r="L25" s="2">
        <v>34.105487916735001</v>
      </c>
      <c r="M25" s="2">
        <v>59.917224386866799</v>
      </c>
    </row>
    <row r="26" spans="1:13" x14ac:dyDescent="0.2">
      <c r="A26" s="2" t="s">
        <v>13</v>
      </c>
      <c r="B26" s="2">
        <v>25</v>
      </c>
      <c r="C26" s="2">
        <v>10</v>
      </c>
      <c r="D26" s="2">
        <v>1</v>
      </c>
      <c r="E26" s="2">
        <v>1</v>
      </c>
      <c r="F26" s="2">
        <v>1.1750777916749899</v>
      </c>
      <c r="G26" s="2" t="s">
        <v>87</v>
      </c>
      <c r="H26" s="2" t="s">
        <v>88</v>
      </c>
      <c r="I26" s="2" t="s">
        <v>16</v>
      </c>
      <c r="J26" s="2" t="s">
        <v>89</v>
      </c>
      <c r="K26" s="2">
        <v>34.113740375032698</v>
      </c>
      <c r="L26" s="2">
        <v>35.2888701667544</v>
      </c>
      <c r="M26" s="2">
        <v>59.917224386866799</v>
      </c>
    </row>
    <row r="27" spans="1:13" x14ac:dyDescent="0.2">
      <c r="A27" s="2" t="s">
        <v>13</v>
      </c>
      <c r="B27" s="2">
        <v>26</v>
      </c>
      <c r="C27" s="2">
        <v>10</v>
      </c>
      <c r="D27" s="2">
        <v>1</v>
      </c>
      <c r="E27" s="2">
        <v>1</v>
      </c>
      <c r="F27" s="2">
        <v>2.1587262499378999</v>
      </c>
      <c r="G27" s="2" t="s">
        <v>90</v>
      </c>
      <c r="H27" s="2" t="s">
        <v>91</v>
      </c>
      <c r="I27" s="2" t="s">
        <v>16</v>
      </c>
      <c r="J27" s="2" t="s">
        <v>92</v>
      </c>
      <c r="K27" s="2">
        <v>35.296988541726002</v>
      </c>
      <c r="L27" s="2">
        <v>37.455742500023902</v>
      </c>
      <c r="M27" s="2">
        <v>59.917224386866799</v>
      </c>
    </row>
    <row r="28" spans="1:13" x14ac:dyDescent="0.2">
      <c r="A28" s="2" t="s">
        <v>13</v>
      </c>
      <c r="B28" s="2">
        <v>27</v>
      </c>
      <c r="C28" s="2">
        <v>10</v>
      </c>
      <c r="D28" s="2">
        <v>1</v>
      </c>
      <c r="E28" s="2">
        <v>1</v>
      </c>
      <c r="F28" s="2">
        <v>1.89172499999404</v>
      </c>
      <c r="G28" s="2" t="s">
        <v>93</v>
      </c>
      <c r="H28" s="2" t="s">
        <v>94</v>
      </c>
      <c r="I28" s="2" t="s">
        <v>16</v>
      </c>
      <c r="J28" s="2" t="s">
        <v>95</v>
      </c>
      <c r="K28" s="2">
        <v>37.464169041719302</v>
      </c>
      <c r="L28" s="2">
        <v>39.355938791646601</v>
      </c>
      <c r="M28" s="2">
        <v>59.917224386866799</v>
      </c>
    </row>
    <row r="29" spans="1:13" x14ac:dyDescent="0.2">
      <c r="A29" s="2" t="s">
        <v>13</v>
      </c>
      <c r="B29" s="2">
        <v>28</v>
      </c>
      <c r="C29" s="2">
        <v>10</v>
      </c>
      <c r="D29" s="2">
        <v>1</v>
      </c>
      <c r="E29" s="2">
        <v>1</v>
      </c>
      <c r="F29" s="2">
        <v>1.5250650000525601</v>
      </c>
      <c r="G29" s="2" t="s">
        <v>96</v>
      </c>
      <c r="H29" s="2" t="s">
        <v>97</v>
      </c>
      <c r="I29" s="2" t="s">
        <v>16</v>
      </c>
      <c r="J29" s="2" t="s">
        <v>98</v>
      </c>
      <c r="K29" s="2">
        <v>39.364091958385004</v>
      </c>
      <c r="L29" s="2">
        <v>40.8891899166629</v>
      </c>
      <c r="M29" s="2">
        <v>59.917224386866799</v>
      </c>
    </row>
    <row r="30" spans="1:13" x14ac:dyDescent="0.2">
      <c r="A30" s="2" t="s">
        <v>13</v>
      </c>
      <c r="B30" s="2">
        <v>29</v>
      </c>
      <c r="C30" s="2">
        <v>10</v>
      </c>
      <c r="D30" s="2">
        <v>1</v>
      </c>
      <c r="E30" s="2">
        <v>1</v>
      </c>
      <c r="F30" s="2">
        <v>1.7739966250956101</v>
      </c>
      <c r="G30" s="2" t="s">
        <v>99</v>
      </c>
      <c r="H30" s="2" t="s">
        <v>100</v>
      </c>
      <c r="I30" s="2" t="s">
        <v>16</v>
      </c>
      <c r="J30" s="2" t="s">
        <v>101</v>
      </c>
      <c r="K30" s="2">
        <v>40.898723124992102</v>
      </c>
      <c r="L30" s="2">
        <v>42.672763041686302</v>
      </c>
      <c r="M30" s="2">
        <v>59.917224386866799</v>
      </c>
    </row>
    <row r="31" spans="1:13" x14ac:dyDescent="0.2">
      <c r="A31" s="2" t="s">
        <v>13</v>
      </c>
      <c r="B31" s="2">
        <v>30</v>
      </c>
      <c r="C31" s="2">
        <v>10</v>
      </c>
      <c r="D31" s="2">
        <v>1</v>
      </c>
      <c r="E31" s="2">
        <v>1</v>
      </c>
      <c r="F31" s="2">
        <v>1.32469862501603</v>
      </c>
      <c r="G31" s="2" t="s">
        <v>102</v>
      </c>
      <c r="H31" s="2" t="s">
        <v>103</v>
      </c>
      <c r="I31" s="2" t="s">
        <v>16</v>
      </c>
      <c r="J31" s="2" t="s">
        <v>104</v>
      </c>
      <c r="K31" s="2">
        <v>42.680986416758998</v>
      </c>
      <c r="L31" s="2">
        <v>44.0057083750144</v>
      </c>
      <c r="M31" s="2">
        <v>59.917224386866799</v>
      </c>
    </row>
    <row r="32" spans="1:13" x14ac:dyDescent="0.2">
      <c r="A32" s="2" t="s">
        <v>13</v>
      </c>
      <c r="B32" s="2">
        <v>31</v>
      </c>
      <c r="C32" s="2">
        <v>10</v>
      </c>
      <c r="D32" s="2">
        <v>1</v>
      </c>
      <c r="E32" s="2">
        <v>1</v>
      </c>
      <c r="F32" s="2">
        <v>1.09292033337988</v>
      </c>
      <c r="G32" s="2" t="s">
        <v>105</v>
      </c>
      <c r="H32" s="2" t="s">
        <v>106</v>
      </c>
      <c r="I32" s="2" t="s">
        <v>16</v>
      </c>
      <c r="J32" s="2" t="s">
        <v>107</v>
      </c>
      <c r="K32" s="2">
        <v>44.012741375016098</v>
      </c>
      <c r="L32" s="2">
        <v>45.105687833391102</v>
      </c>
      <c r="M32" s="2">
        <v>59.917224386866799</v>
      </c>
    </row>
    <row r="33" spans="1:13" x14ac:dyDescent="0.2">
      <c r="A33" s="2" t="s">
        <v>13</v>
      </c>
      <c r="B33" s="2">
        <v>32</v>
      </c>
      <c r="C33" s="2">
        <v>10</v>
      </c>
      <c r="D33" s="2">
        <v>1</v>
      </c>
      <c r="E33" s="2">
        <v>1</v>
      </c>
      <c r="F33" s="2">
        <v>1.39287054166198</v>
      </c>
      <c r="G33" s="2" t="s">
        <v>108</v>
      </c>
      <c r="H33" s="2" t="s">
        <v>109</v>
      </c>
      <c r="I33" s="2" t="s">
        <v>16</v>
      </c>
      <c r="J33" s="2" t="s">
        <v>110</v>
      </c>
      <c r="K33" s="2">
        <v>45.112741208402397</v>
      </c>
      <c r="L33" s="2">
        <v>46.505660833325202</v>
      </c>
      <c r="M33" s="2">
        <v>59.917224386866799</v>
      </c>
    </row>
    <row r="34" spans="1:13" x14ac:dyDescent="0.2">
      <c r="A34" s="2" t="s">
        <v>13</v>
      </c>
      <c r="B34" s="2">
        <v>33</v>
      </c>
      <c r="C34" s="2">
        <v>5</v>
      </c>
      <c r="D34" s="2">
        <v>1</v>
      </c>
      <c r="E34" s="2">
        <v>1</v>
      </c>
      <c r="F34" s="2">
        <v>1.49550249997992</v>
      </c>
      <c r="G34" s="2" t="s">
        <v>111</v>
      </c>
      <c r="H34" s="2" t="s">
        <v>112</v>
      </c>
      <c r="I34" s="2" t="s">
        <v>16</v>
      </c>
      <c r="J34" s="2" t="s">
        <v>113</v>
      </c>
      <c r="K34" s="2">
        <v>46.510117000085302</v>
      </c>
      <c r="L34" s="2">
        <v>48.0056534167379</v>
      </c>
      <c r="M34" s="2">
        <v>59.917224386866799</v>
      </c>
    </row>
    <row r="35" spans="1:13" x14ac:dyDescent="0.2">
      <c r="A35" s="2" t="s">
        <v>13</v>
      </c>
      <c r="B35" s="2">
        <v>34</v>
      </c>
      <c r="C35" s="2">
        <v>5</v>
      </c>
      <c r="D35" s="2">
        <v>1</v>
      </c>
      <c r="E35" s="2">
        <v>1</v>
      </c>
      <c r="F35" s="2">
        <v>1.0620385000947901</v>
      </c>
      <c r="G35" s="2" t="s">
        <v>114</v>
      </c>
      <c r="H35" s="2" t="s">
        <v>115</v>
      </c>
      <c r="I35" s="2" t="s">
        <v>16</v>
      </c>
      <c r="J35" s="2" t="s">
        <v>116</v>
      </c>
      <c r="K35" s="2">
        <v>48.010246374993599</v>
      </c>
      <c r="L35" s="2">
        <v>49.072310750023497</v>
      </c>
      <c r="M35" s="2">
        <v>59.917224386866799</v>
      </c>
    </row>
    <row r="36" spans="1:13" x14ac:dyDescent="0.2">
      <c r="A36" s="2" t="s">
        <v>13</v>
      </c>
      <c r="B36" s="2">
        <v>35</v>
      </c>
      <c r="C36" s="2">
        <v>5</v>
      </c>
      <c r="D36" s="2">
        <v>1</v>
      </c>
      <c r="E36" s="2">
        <v>1</v>
      </c>
      <c r="F36" s="2">
        <v>1.3794495833572</v>
      </c>
      <c r="G36" s="2" t="s">
        <v>46</v>
      </c>
      <c r="H36" s="2" t="s">
        <v>117</v>
      </c>
      <c r="I36" s="2" t="s">
        <v>16</v>
      </c>
      <c r="J36" s="2" t="s">
        <v>118</v>
      </c>
      <c r="K36" s="2">
        <v>49.0766566667007</v>
      </c>
      <c r="L36" s="2">
        <v>50.456144166644698</v>
      </c>
      <c r="M36" s="2">
        <v>59.917224386866799</v>
      </c>
    </row>
    <row r="37" spans="1:13" x14ac:dyDescent="0.2">
      <c r="A37" s="2" t="s">
        <v>13</v>
      </c>
      <c r="B37" s="2">
        <v>36</v>
      </c>
      <c r="C37" s="2">
        <v>10</v>
      </c>
      <c r="D37" s="2">
        <v>1</v>
      </c>
      <c r="E37" s="2">
        <v>1</v>
      </c>
      <c r="F37" s="2">
        <v>1.07352099998388</v>
      </c>
      <c r="G37" s="2" t="s">
        <v>52</v>
      </c>
      <c r="H37" s="2" t="s">
        <v>119</v>
      </c>
      <c r="I37" s="2" t="s">
        <v>16</v>
      </c>
      <c r="J37" s="2" t="s">
        <v>120</v>
      </c>
      <c r="K37" s="2">
        <v>50.465858166688101</v>
      </c>
      <c r="L37" s="2">
        <v>51.539414083352298</v>
      </c>
      <c r="M37" s="2">
        <v>59.917224386866799</v>
      </c>
    </row>
    <row r="38" spans="1:13" x14ac:dyDescent="0.2">
      <c r="A38" s="2" t="s">
        <v>13</v>
      </c>
      <c r="B38" s="2">
        <v>37</v>
      </c>
      <c r="C38" s="2">
        <v>10</v>
      </c>
      <c r="D38" s="2">
        <v>1</v>
      </c>
      <c r="E38" s="2">
        <v>1</v>
      </c>
      <c r="F38" s="2">
        <v>1.9244936249451701</v>
      </c>
      <c r="G38" s="2" t="s">
        <v>121</v>
      </c>
      <c r="H38" s="2" t="s">
        <v>34</v>
      </c>
      <c r="I38" s="2" t="s">
        <v>16</v>
      </c>
      <c r="J38" s="2" t="s">
        <v>122</v>
      </c>
      <c r="K38" s="2">
        <v>51.5477385000559</v>
      </c>
      <c r="L38" s="2">
        <v>53.472276500077001</v>
      </c>
      <c r="M38" s="2">
        <v>59.917224386866799</v>
      </c>
    </row>
    <row r="39" spans="1:13" x14ac:dyDescent="0.2">
      <c r="A39" s="2" t="s">
        <v>13</v>
      </c>
      <c r="B39" s="2">
        <v>38</v>
      </c>
      <c r="C39" s="2">
        <v>10</v>
      </c>
      <c r="D39" s="2">
        <v>2</v>
      </c>
      <c r="E39" s="2">
        <v>0</v>
      </c>
      <c r="F39" s="2">
        <v>1.87495429173578</v>
      </c>
      <c r="G39" s="2" t="s">
        <v>123</v>
      </c>
      <c r="H39" s="2" t="s">
        <v>124</v>
      </c>
      <c r="I39" s="2" t="s">
        <v>23</v>
      </c>
      <c r="J39" s="2" t="s">
        <v>125</v>
      </c>
      <c r="K39" s="2">
        <v>53.480492041679099</v>
      </c>
      <c r="L39" s="2">
        <v>55.355480083380797</v>
      </c>
      <c r="M39" s="2">
        <v>59.917224386866799</v>
      </c>
    </row>
    <row r="40" spans="1:13" x14ac:dyDescent="0.2">
      <c r="A40" s="2" t="s">
        <v>13</v>
      </c>
      <c r="B40" s="2">
        <v>39</v>
      </c>
      <c r="C40" s="2">
        <v>10</v>
      </c>
      <c r="D40" s="2">
        <v>1</v>
      </c>
      <c r="E40" s="2">
        <v>1</v>
      </c>
      <c r="F40" s="2">
        <v>1.4426349584246101</v>
      </c>
      <c r="G40" s="2" t="s">
        <v>126</v>
      </c>
      <c r="H40" s="2" t="s">
        <v>127</v>
      </c>
      <c r="I40" s="2" t="s">
        <v>16</v>
      </c>
      <c r="J40" s="2" t="s">
        <v>128</v>
      </c>
      <c r="K40" s="2">
        <v>55.362859458313302</v>
      </c>
      <c r="L40" s="2">
        <v>56.805552916717701</v>
      </c>
      <c r="M40" s="2">
        <v>59.917224386866799</v>
      </c>
    </row>
    <row r="41" spans="1:13" x14ac:dyDescent="0.2">
      <c r="A41" s="2" t="s">
        <v>13</v>
      </c>
      <c r="B41" s="2">
        <v>40</v>
      </c>
      <c r="C41" s="2">
        <v>10</v>
      </c>
      <c r="D41" s="2">
        <v>1</v>
      </c>
      <c r="E41" s="2">
        <v>1</v>
      </c>
      <c r="F41" s="2">
        <v>1.72522958333138</v>
      </c>
      <c r="G41" s="2" t="s">
        <v>129</v>
      </c>
      <c r="H41" s="2" t="s">
        <v>130</v>
      </c>
      <c r="I41" s="2" t="s">
        <v>16</v>
      </c>
      <c r="J41" s="2" t="s">
        <v>131</v>
      </c>
      <c r="K41" s="2">
        <v>56.813750166678801</v>
      </c>
      <c r="L41" s="2">
        <v>58.539034000015803</v>
      </c>
      <c r="M41" s="2">
        <v>59.917224386866799</v>
      </c>
    </row>
    <row r="42" spans="1:13" x14ac:dyDescent="0.2">
      <c r="A42" s="2" t="s">
        <v>13</v>
      </c>
      <c r="B42" s="2">
        <v>41</v>
      </c>
      <c r="C42" s="2">
        <v>10</v>
      </c>
      <c r="D42" s="2">
        <v>1</v>
      </c>
      <c r="E42" s="2">
        <v>1</v>
      </c>
      <c r="F42" s="2">
        <v>2.47566100000404</v>
      </c>
      <c r="G42" s="2" t="s">
        <v>132</v>
      </c>
      <c r="H42" s="2" t="s">
        <v>133</v>
      </c>
      <c r="I42" s="2" t="s">
        <v>16</v>
      </c>
      <c r="J42" s="2" t="s">
        <v>134</v>
      </c>
      <c r="K42" s="2">
        <v>58.547345958417303</v>
      </c>
      <c r="L42" s="2">
        <v>61.0230607916601</v>
      </c>
      <c r="M42" s="2">
        <v>59.917224386866799</v>
      </c>
    </row>
    <row r="43" spans="1:13" x14ac:dyDescent="0.2">
      <c r="A43" s="2" t="s">
        <v>13</v>
      </c>
      <c r="B43" s="2">
        <v>42</v>
      </c>
      <c r="C43" s="2">
        <v>5</v>
      </c>
      <c r="D43" s="2">
        <v>2</v>
      </c>
      <c r="E43" s="2">
        <v>0</v>
      </c>
      <c r="F43" s="2">
        <v>2.2588207500521098</v>
      </c>
      <c r="G43" s="2" t="s">
        <v>135</v>
      </c>
      <c r="H43" s="2" t="s">
        <v>136</v>
      </c>
      <c r="I43" s="2" t="s">
        <v>23</v>
      </c>
      <c r="J43" s="2" t="s">
        <v>137</v>
      </c>
      <c r="K43" s="2">
        <v>61.029942041728702</v>
      </c>
      <c r="L43" s="2">
        <v>63.288789750076802</v>
      </c>
      <c r="M43" s="2">
        <v>59.917224386866799</v>
      </c>
    </row>
    <row r="44" spans="1:13" x14ac:dyDescent="0.2">
      <c r="A44" s="2" t="s">
        <v>13</v>
      </c>
      <c r="B44" s="2">
        <v>43</v>
      </c>
      <c r="C44" s="2">
        <v>5</v>
      </c>
      <c r="D44" s="2">
        <v>1</v>
      </c>
      <c r="E44" s="2">
        <v>1</v>
      </c>
      <c r="F44" s="2">
        <v>1.6119040832854801</v>
      </c>
      <c r="G44" s="2" t="s">
        <v>138</v>
      </c>
      <c r="H44" s="2" t="s">
        <v>139</v>
      </c>
      <c r="I44" s="2" t="s">
        <v>16</v>
      </c>
      <c r="J44" s="2" t="s">
        <v>140</v>
      </c>
      <c r="K44" s="2">
        <v>63.293513541691901</v>
      </c>
      <c r="L44" s="2">
        <v>64.905443000025102</v>
      </c>
      <c r="M44" s="2">
        <v>59.917224386866799</v>
      </c>
    </row>
    <row r="45" spans="1:13" x14ac:dyDescent="0.2">
      <c r="A45" s="2" t="s">
        <v>13</v>
      </c>
      <c r="B45" s="2">
        <v>44</v>
      </c>
      <c r="C45" s="2">
        <v>10</v>
      </c>
      <c r="D45" s="2">
        <v>1</v>
      </c>
      <c r="E45" s="2">
        <v>1</v>
      </c>
      <c r="F45" s="2">
        <v>1.10938158328645</v>
      </c>
      <c r="G45" s="2" t="s">
        <v>141</v>
      </c>
      <c r="H45" s="2" t="s">
        <v>142</v>
      </c>
      <c r="I45" s="2" t="s">
        <v>16</v>
      </c>
      <c r="J45" s="2" t="s">
        <v>143</v>
      </c>
      <c r="K45" s="2">
        <v>64.912626374978601</v>
      </c>
      <c r="L45" s="2">
        <v>66.022059583338006</v>
      </c>
      <c r="M45" s="2">
        <v>59.917224386866799</v>
      </c>
    </row>
    <row r="46" spans="1:13" x14ac:dyDescent="0.2">
      <c r="A46" s="2" t="s">
        <v>13</v>
      </c>
      <c r="B46" s="2">
        <v>45</v>
      </c>
      <c r="C46" s="2">
        <v>10</v>
      </c>
      <c r="D46" s="2">
        <v>1</v>
      </c>
      <c r="E46" s="2">
        <v>1</v>
      </c>
      <c r="F46" s="2">
        <v>1.2583348749904</v>
      </c>
      <c r="G46" s="2" t="s">
        <v>144</v>
      </c>
      <c r="H46" s="2" t="s">
        <v>32</v>
      </c>
      <c r="I46" s="2" t="s">
        <v>16</v>
      </c>
      <c r="J46" s="2" t="s">
        <v>145</v>
      </c>
      <c r="K46" s="2">
        <v>66.030569708323995</v>
      </c>
      <c r="L46" s="2">
        <v>67.288945416687099</v>
      </c>
      <c r="M46" s="2">
        <v>59.917224386866799</v>
      </c>
    </row>
    <row r="47" spans="1:13" x14ac:dyDescent="0.2">
      <c r="A47" s="2" t="s">
        <v>13</v>
      </c>
      <c r="B47" s="2">
        <v>46</v>
      </c>
      <c r="C47" s="2">
        <v>5</v>
      </c>
      <c r="D47" s="2">
        <v>1</v>
      </c>
      <c r="E47" s="2">
        <v>1</v>
      </c>
      <c r="F47" s="2">
        <v>1.17937441670802</v>
      </c>
      <c r="G47" s="2" t="s">
        <v>146</v>
      </c>
      <c r="H47" s="2" t="s">
        <v>147</v>
      </c>
      <c r="I47" s="2" t="s">
        <v>16</v>
      </c>
      <c r="J47" s="2" t="s">
        <v>148</v>
      </c>
      <c r="K47" s="2">
        <v>67.292923041735804</v>
      </c>
      <c r="L47" s="2">
        <v>68.472324750036904</v>
      </c>
      <c r="M47" s="2">
        <v>59.917224386866799</v>
      </c>
    </row>
    <row r="48" spans="1:13" x14ac:dyDescent="0.2">
      <c r="A48" s="2" t="s">
        <v>13</v>
      </c>
      <c r="B48" s="2">
        <v>47</v>
      </c>
      <c r="C48" s="2">
        <v>5</v>
      </c>
      <c r="D48" s="2">
        <v>1</v>
      </c>
      <c r="E48" s="2">
        <v>1</v>
      </c>
      <c r="F48" s="2">
        <v>1.2789537915960001</v>
      </c>
      <c r="G48" s="2" t="s">
        <v>149</v>
      </c>
      <c r="H48" s="2" t="s">
        <v>150</v>
      </c>
      <c r="I48" s="2" t="s">
        <v>16</v>
      </c>
      <c r="J48" s="2" t="s">
        <v>151</v>
      </c>
      <c r="K48" s="2">
        <v>68.476652708370196</v>
      </c>
      <c r="L48" s="2">
        <v>69.755632833344904</v>
      </c>
      <c r="M48" s="2">
        <v>59.917224386866799</v>
      </c>
    </row>
    <row r="49" spans="1:13" x14ac:dyDescent="0.2">
      <c r="A49" s="2" t="s">
        <v>13</v>
      </c>
      <c r="B49" s="2">
        <v>48</v>
      </c>
      <c r="C49" s="2">
        <v>10</v>
      </c>
      <c r="D49" s="2">
        <v>1</v>
      </c>
      <c r="E49" s="2">
        <v>1</v>
      </c>
      <c r="F49" s="2">
        <v>1.22589579166379</v>
      </c>
      <c r="G49" s="2" t="s">
        <v>152</v>
      </c>
      <c r="H49" s="2" t="s">
        <v>153</v>
      </c>
      <c r="I49" s="2" t="s">
        <v>16</v>
      </c>
      <c r="J49" s="2" t="s">
        <v>154</v>
      </c>
      <c r="K49" s="2">
        <v>69.763616541749798</v>
      </c>
      <c r="L49" s="2">
        <v>70.989580375025994</v>
      </c>
      <c r="M49" s="2">
        <v>59.917224386866799</v>
      </c>
    </row>
    <row r="50" spans="1:13" x14ac:dyDescent="0.2">
      <c r="A50" s="2" t="s">
        <v>13</v>
      </c>
      <c r="B50" s="2">
        <v>49</v>
      </c>
      <c r="C50" s="2">
        <v>10</v>
      </c>
      <c r="D50" s="2">
        <v>1</v>
      </c>
      <c r="E50" s="2">
        <v>1</v>
      </c>
      <c r="F50" s="2">
        <v>1.7541581667028401</v>
      </c>
      <c r="G50" s="2" t="s">
        <v>155</v>
      </c>
      <c r="H50" s="2" t="s">
        <v>156</v>
      </c>
      <c r="I50" s="2" t="s">
        <v>16</v>
      </c>
      <c r="J50" s="2" t="s">
        <v>157</v>
      </c>
      <c r="K50" s="2">
        <v>71.001442500040895</v>
      </c>
      <c r="L50" s="2">
        <v>72.755624416749896</v>
      </c>
      <c r="M50" s="2">
        <v>59.917224386866799</v>
      </c>
    </row>
    <row r="51" spans="1:13" x14ac:dyDescent="0.2">
      <c r="A51" s="2" t="s">
        <v>13</v>
      </c>
      <c r="B51" s="2">
        <v>50</v>
      </c>
      <c r="C51" s="2">
        <v>10</v>
      </c>
      <c r="D51" s="2">
        <v>1</v>
      </c>
      <c r="E51" s="2">
        <v>1</v>
      </c>
      <c r="F51" s="2">
        <v>1.7911589583381999</v>
      </c>
      <c r="G51" s="2" t="s">
        <v>158</v>
      </c>
      <c r="H51" s="2" t="s">
        <v>159</v>
      </c>
      <c r="I51" s="2" t="s">
        <v>16</v>
      </c>
      <c r="J51" s="2" t="s">
        <v>160</v>
      </c>
      <c r="K51" s="2">
        <v>72.764201666694106</v>
      </c>
      <c r="L51" s="2">
        <v>74.555385833373293</v>
      </c>
      <c r="M51" s="2">
        <v>59.917224386866799</v>
      </c>
    </row>
    <row r="52" spans="1:13" x14ac:dyDescent="0.2">
      <c r="A52" s="2" t="s">
        <v>13</v>
      </c>
      <c r="B52" s="2">
        <v>51</v>
      </c>
      <c r="C52" s="2">
        <v>10</v>
      </c>
      <c r="D52" s="2">
        <v>1</v>
      </c>
      <c r="E52" s="2">
        <v>1</v>
      </c>
      <c r="F52" s="2">
        <v>1.9760318750049899</v>
      </c>
      <c r="G52" s="2" t="s">
        <v>161</v>
      </c>
      <c r="H52" s="2" t="s">
        <v>96</v>
      </c>
      <c r="I52" s="2" t="s">
        <v>16</v>
      </c>
      <c r="J52" s="2" t="s">
        <v>162</v>
      </c>
      <c r="K52" s="2">
        <v>74.562830541748596</v>
      </c>
      <c r="L52" s="2">
        <v>76.538908750051604</v>
      </c>
      <c r="M52" s="2">
        <v>59.917224386866799</v>
      </c>
    </row>
    <row r="53" spans="1:13" x14ac:dyDescent="0.2">
      <c r="A53" s="2" t="s">
        <v>13</v>
      </c>
      <c r="B53" s="2">
        <v>52</v>
      </c>
      <c r="C53" s="2">
        <v>5</v>
      </c>
      <c r="D53" s="2">
        <v>1</v>
      </c>
      <c r="E53" s="2">
        <v>1</v>
      </c>
      <c r="F53" s="2">
        <v>1.16218624997418</v>
      </c>
      <c r="G53" s="2" t="s">
        <v>163</v>
      </c>
      <c r="H53" s="2" t="s">
        <v>164</v>
      </c>
      <c r="I53" s="2" t="s">
        <v>16</v>
      </c>
      <c r="J53" s="2" t="s">
        <v>165</v>
      </c>
      <c r="K53" s="2">
        <v>76.543352124979705</v>
      </c>
      <c r="L53" s="2">
        <v>77.7055841250112</v>
      </c>
      <c r="M53" s="2">
        <v>59.917224386866799</v>
      </c>
    </row>
    <row r="54" spans="1:13" x14ac:dyDescent="0.2">
      <c r="A54" s="2" t="s">
        <v>13</v>
      </c>
      <c r="B54" s="2">
        <v>53</v>
      </c>
      <c r="C54" s="2">
        <v>5</v>
      </c>
      <c r="D54" s="2">
        <v>1</v>
      </c>
      <c r="E54" s="2">
        <v>1</v>
      </c>
      <c r="F54" s="2">
        <v>1.19527008326259</v>
      </c>
      <c r="G54" s="2" t="s">
        <v>166</v>
      </c>
      <c r="H54" s="2" t="s">
        <v>167</v>
      </c>
      <c r="I54" s="2" t="s">
        <v>16</v>
      </c>
      <c r="J54" s="2" t="s">
        <v>168</v>
      </c>
      <c r="K54" s="2">
        <v>77.710020833415896</v>
      </c>
      <c r="L54" s="2">
        <v>78.905329500092193</v>
      </c>
      <c r="M54" s="2">
        <v>59.917224386866799</v>
      </c>
    </row>
    <row r="55" spans="1:13" x14ac:dyDescent="0.2">
      <c r="A55" s="2" t="s">
        <v>13</v>
      </c>
      <c r="B55" s="2">
        <v>54</v>
      </c>
      <c r="C55" s="2">
        <v>5</v>
      </c>
      <c r="D55" s="2">
        <v>1</v>
      </c>
      <c r="E55" s="2">
        <v>1</v>
      </c>
      <c r="F55" s="2">
        <v>1.57932258339133</v>
      </c>
      <c r="G55" s="2" t="s">
        <v>169</v>
      </c>
      <c r="H55" s="2" t="s">
        <v>170</v>
      </c>
      <c r="I55" s="2" t="s">
        <v>16</v>
      </c>
      <c r="J55" s="2" t="s">
        <v>171</v>
      </c>
      <c r="K55" s="2">
        <v>78.909406166756497</v>
      </c>
      <c r="L55" s="2">
        <v>80.488753458368606</v>
      </c>
      <c r="M55" s="2">
        <v>59.917224386866799</v>
      </c>
    </row>
    <row r="56" spans="1:13" x14ac:dyDescent="0.2">
      <c r="A56" s="2" t="s">
        <v>13</v>
      </c>
      <c r="B56" s="2">
        <v>55</v>
      </c>
      <c r="C56" s="2">
        <v>10</v>
      </c>
      <c r="D56" s="2">
        <v>1</v>
      </c>
      <c r="E56" s="2">
        <v>1</v>
      </c>
      <c r="F56" s="2">
        <v>1.42628108337522</v>
      </c>
      <c r="G56" s="2" t="s">
        <v>172</v>
      </c>
      <c r="H56" s="2" t="s">
        <v>173</v>
      </c>
      <c r="I56" s="2" t="s">
        <v>16</v>
      </c>
      <c r="J56" s="2" t="s">
        <v>174</v>
      </c>
      <c r="K56" s="2">
        <v>80.495852958411007</v>
      </c>
      <c r="L56" s="2">
        <v>81.922182625043206</v>
      </c>
      <c r="M56" s="2">
        <v>59.917224386866799</v>
      </c>
    </row>
    <row r="57" spans="1:13" x14ac:dyDescent="0.2">
      <c r="A57" s="2" t="s">
        <v>13</v>
      </c>
      <c r="B57" s="2">
        <v>56</v>
      </c>
      <c r="C57" s="2">
        <v>5</v>
      </c>
      <c r="D57" s="2">
        <v>1</v>
      </c>
      <c r="E57" s="2">
        <v>1</v>
      </c>
      <c r="F57" s="2">
        <v>1.6778194999788001</v>
      </c>
      <c r="G57" s="2" t="s">
        <v>175</v>
      </c>
      <c r="H57" s="2" t="s">
        <v>176</v>
      </c>
      <c r="I57" s="2" t="s">
        <v>16</v>
      </c>
      <c r="J57" s="2" t="s">
        <v>177</v>
      </c>
      <c r="K57" s="2">
        <v>81.9278514999896</v>
      </c>
      <c r="L57" s="2">
        <v>83.605699458392294</v>
      </c>
      <c r="M57" s="2">
        <v>59.917224386866799</v>
      </c>
    </row>
    <row r="58" spans="1:13" x14ac:dyDescent="0.2">
      <c r="A58" s="2" t="s">
        <v>13</v>
      </c>
      <c r="B58" s="2">
        <v>57</v>
      </c>
      <c r="C58" s="2">
        <v>10</v>
      </c>
      <c r="D58" s="2">
        <v>1</v>
      </c>
      <c r="E58" s="2">
        <v>1</v>
      </c>
      <c r="F58" s="2">
        <v>1.44173520826735</v>
      </c>
      <c r="G58" s="2" t="s">
        <v>178</v>
      </c>
      <c r="H58" s="2" t="s">
        <v>179</v>
      </c>
      <c r="I58" s="2" t="s">
        <v>16</v>
      </c>
      <c r="J58" s="2" t="s">
        <v>180</v>
      </c>
      <c r="K58" s="2">
        <v>83.613808625028497</v>
      </c>
      <c r="L58" s="2">
        <v>85.055574666708694</v>
      </c>
      <c r="M58" s="2">
        <v>59.917224386866799</v>
      </c>
    </row>
    <row r="59" spans="1:13" x14ac:dyDescent="0.2">
      <c r="A59" s="2" t="s">
        <v>13</v>
      </c>
      <c r="B59" s="2">
        <v>58</v>
      </c>
      <c r="C59" s="2">
        <v>10</v>
      </c>
      <c r="D59" s="2">
        <v>1</v>
      </c>
      <c r="E59" s="2">
        <v>1</v>
      </c>
      <c r="F59" s="2">
        <v>2.1597116249613499</v>
      </c>
      <c r="G59" s="2" t="s">
        <v>181</v>
      </c>
      <c r="H59" s="2" t="s">
        <v>182</v>
      </c>
      <c r="I59" s="2" t="s">
        <v>16</v>
      </c>
      <c r="J59" s="2" t="s">
        <v>183</v>
      </c>
      <c r="K59" s="2">
        <v>85.062549166730605</v>
      </c>
      <c r="L59" s="2">
        <v>87.222309666685803</v>
      </c>
      <c r="M59" s="2">
        <v>59.917224386866799</v>
      </c>
    </row>
    <row r="60" spans="1:13" x14ac:dyDescent="0.2">
      <c r="A60" s="2" t="s">
        <v>13</v>
      </c>
      <c r="B60" s="2">
        <v>59</v>
      </c>
      <c r="C60" s="2">
        <v>5</v>
      </c>
      <c r="D60" s="2">
        <v>1</v>
      </c>
      <c r="E60" s="2">
        <v>1</v>
      </c>
      <c r="F60" s="2">
        <v>1.51218233339023</v>
      </c>
      <c r="G60" s="2" t="s">
        <v>184</v>
      </c>
      <c r="H60" s="2" t="s">
        <v>84</v>
      </c>
      <c r="I60" s="2" t="s">
        <v>16</v>
      </c>
      <c r="J60" s="2" t="s">
        <v>185</v>
      </c>
      <c r="K60" s="2">
        <v>87.226709500071607</v>
      </c>
      <c r="L60" s="2">
        <v>88.738919250085004</v>
      </c>
      <c r="M60" s="2">
        <v>59.917224386866799</v>
      </c>
    </row>
    <row r="61" spans="1:13" x14ac:dyDescent="0.2">
      <c r="A61" s="2" t="s">
        <v>13</v>
      </c>
      <c r="B61" s="2">
        <v>60</v>
      </c>
      <c r="C61" s="2">
        <v>10</v>
      </c>
      <c r="D61" s="2">
        <v>1</v>
      </c>
      <c r="E61" s="2">
        <v>1</v>
      </c>
      <c r="F61" s="2">
        <v>1.92520808335394</v>
      </c>
      <c r="G61" s="2" t="s">
        <v>186</v>
      </c>
      <c r="H61" s="2" t="s">
        <v>187</v>
      </c>
      <c r="I61" s="2" t="s">
        <v>16</v>
      </c>
      <c r="J61" s="2" t="s">
        <v>188</v>
      </c>
      <c r="K61" s="2">
        <v>88.746856875019205</v>
      </c>
      <c r="L61" s="2">
        <v>90.672109083388904</v>
      </c>
      <c r="M61" s="2">
        <v>59.917224386866799</v>
      </c>
    </row>
    <row r="62" spans="1:13" x14ac:dyDescent="0.2">
      <c r="A62" s="2" t="s">
        <v>13</v>
      </c>
      <c r="B62" s="2">
        <v>61</v>
      </c>
      <c r="C62" s="2">
        <v>10</v>
      </c>
      <c r="D62" s="2">
        <v>1</v>
      </c>
      <c r="E62" s="2">
        <v>1</v>
      </c>
      <c r="F62" s="2">
        <v>1.49251450004522</v>
      </c>
      <c r="G62" s="2" t="s">
        <v>189</v>
      </c>
      <c r="H62" s="2" t="s">
        <v>190</v>
      </c>
      <c r="I62" s="2" t="s">
        <v>16</v>
      </c>
      <c r="J62" s="2" t="s">
        <v>191</v>
      </c>
      <c r="K62" s="2">
        <v>90.680263875052304</v>
      </c>
      <c r="L62" s="2">
        <v>92.172828000038905</v>
      </c>
      <c r="M62" s="2">
        <v>59.917224386866799</v>
      </c>
    </row>
    <row r="63" spans="1:13" x14ac:dyDescent="0.2">
      <c r="A63" s="2" t="s">
        <v>13</v>
      </c>
      <c r="B63" s="2">
        <v>62</v>
      </c>
      <c r="C63" s="2">
        <v>5</v>
      </c>
      <c r="D63" s="2">
        <v>2</v>
      </c>
      <c r="E63" s="2">
        <v>0</v>
      </c>
      <c r="F63" s="2">
        <v>2.07695745828096</v>
      </c>
      <c r="G63" s="2" t="s">
        <v>192</v>
      </c>
      <c r="H63" s="2" t="s">
        <v>193</v>
      </c>
      <c r="I63" s="2" t="s">
        <v>23</v>
      </c>
      <c r="J63" s="2" t="s">
        <v>194</v>
      </c>
      <c r="K63" s="2">
        <v>92.178164416691303</v>
      </c>
      <c r="L63" s="2">
        <v>94.255143541726298</v>
      </c>
      <c r="M63" s="2">
        <v>59.917224386866799</v>
      </c>
    </row>
    <row r="64" spans="1:13" x14ac:dyDescent="0.2">
      <c r="A64" s="2" t="s">
        <v>13</v>
      </c>
      <c r="B64" s="2">
        <v>63</v>
      </c>
      <c r="C64" s="2">
        <v>10</v>
      </c>
      <c r="D64" s="2">
        <v>1</v>
      </c>
      <c r="E64" s="2">
        <v>1</v>
      </c>
      <c r="F64" s="2">
        <v>1.7429309999570299</v>
      </c>
      <c r="G64" s="2" t="s">
        <v>195</v>
      </c>
      <c r="H64" s="2" t="s">
        <v>196</v>
      </c>
      <c r="I64" s="2" t="s">
        <v>16</v>
      </c>
      <c r="J64" s="2" t="s">
        <v>197</v>
      </c>
      <c r="K64" s="2">
        <v>94.262472958420403</v>
      </c>
      <c r="L64" s="2">
        <v>96.005476625054101</v>
      </c>
      <c r="M64" s="2">
        <v>59.917224386866799</v>
      </c>
    </row>
    <row r="65" spans="1:13" x14ac:dyDescent="0.2">
      <c r="A65" s="2" t="s">
        <v>13</v>
      </c>
      <c r="B65" s="2">
        <v>64</v>
      </c>
      <c r="C65" s="2">
        <v>5</v>
      </c>
      <c r="D65" s="2">
        <v>1</v>
      </c>
      <c r="E65" s="2">
        <v>1</v>
      </c>
      <c r="F65" s="2">
        <v>1.41243262495846</v>
      </c>
      <c r="G65" s="2" t="s">
        <v>198</v>
      </c>
      <c r="H65" s="2" t="s">
        <v>199</v>
      </c>
      <c r="I65" s="2" t="s">
        <v>16</v>
      </c>
      <c r="J65" s="2" t="s">
        <v>200</v>
      </c>
      <c r="K65" s="2">
        <v>96.009907375089796</v>
      </c>
      <c r="L65" s="2">
        <v>97.422367958351998</v>
      </c>
      <c r="M65" s="2">
        <v>59.917224386866799</v>
      </c>
    </row>
    <row r="66" spans="1:13" x14ac:dyDescent="0.2">
      <c r="A66" s="2" t="s">
        <v>13</v>
      </c>
      <c r="B66" s="2">
        <v>65</v>
      </c>
      <c r="C66" s="2">
        <v>5</v>
      </c>
      <c r="D66" s="2">
        <v>1</v>
      </c>
      <c r="E66" s="2">
        <v>1</v>
      </c>
      <c r="F66" s="2">
        <v>1.2949985417071701</v>
      </c>
      <c r="G66" s="2" t="s">
        <v>201</v>
      </c>
      <c r="H66" s="2" t="s">
        <v>202</v>
      </c>
      <c r="I66" s="2" t="s">
        <v>16</v>
      </c>
      <c r="J66" s="2" t="s">
        <v>203</v>
      </c>
      <c r="K66" s="2">
        <v>97.4271385417087</v>
      </c>
      <c r="L66" s="2">
        <v>98.722167750005596</v>
      </c>
      <c r="M66" s="2">
        <v>59.917224386866799</v>
      </c>
    </row>
    <row r="67" spans="1:13" x14ac:dyDescent="0.2">
      <c r="A67" s="2" t="s">
        <v>13</v>
      </c>
      <c r="B67" s="2">
        <v>66</v>
      </c>
      <c r="C67" s="2">
        <v>10</v>
      </c>
      <c r="D67" s="2">
        <v>1</v>
      </c>
      <c r="E67" s="2">
        <v>1</v>
      </c>
      <c r="F67" s="2">
        <v>2.17566720838659</v>
      </c>
      <c r="G67" s="2" t="s">
        <v>204</v>
      </c>
      <c r="H67" s="2" t="s">
        <v>205</v>
      </c>
      <c r="I67" s="2" t="s">
        <v>16</v>
      </c>
      <c r="J67" s="2" t="s">
        <v>206</v>
      </c>
      <c r="K67" s="2">
        <v>98.730189416673994</v>
      </c>
      <c r="L67" s="2">
        <v>100.90589104173699</v>
      </c>
      <c r="M67" s="2">
        <v>59.917224386866799</v>
      </c>
    </row>
    <row r="68" spans="1:13" x14ac:dyDescent="0.2">
      <c r="A68" s="2" t="s">
        <v>13</v>
      </c>
      <c r="B68" s="2">
        <v>67</v>
      </c>
      <c r="C68" s="2">
        <v>5</v>
      </c>
      <c r="D68" s="2">
        <v>1</v>
      </c>
      <c r="E68" s="2">
        <v>1</v>
      </c>
      <c r="F68" s="2">
        <v>1.6624459583545099</v>
      </c>
      <c r="G68" s="2" t="s">
        <v>207</v>
      </c>
      <c r="H68" s="2" t="s">
        <v>208</v>
      </c>
      <c r="I68" s="2" t="s">
        <v>16</v>
      </c>
      <c r="J68" s="2" t="s">
        <v>209</v>
      </c>
      <c r="K68" s="2">
        <v>100.91038104170001</v>
      </c>
      <c r="L68" s="2">
        <v>102.57287395838701</v>
      </c>
      <c r="M68" s="2">
        <v>59.917224386866799</v>
      </c>
    </row>
    <row r="69" spans="1:13" x14ac:dyDescent="0.2">
      <c r="A69" s="2" t="s">
        <v>13</v>
      </c>
      <c r="B69" s="2">
        <v>68</v>
      </c>
      <c r="C69" s="2">
        <v>10</v>
      </c>
      <c r="D69" s="2">
        <v>1</v>
      </c>
      <c r="E69" s="2">
        <v>1</v>
      </c>
      <c r="F69" s="2">
        <v>1.372654124978</v>
      </c>
      <c r="G69" s="2" t="s">
        <v>210</v>
      </c>
      <c r="H69" s="2" t="s">
        <v>211</v>
      </c>
      <c r="I69" s="2" t="s">
        <v>16</v>
      </c>
      <c r="J69" s="2" t="s">
        <v>212</v>
      </c>
      <c r="K69" s="2">
        <v>102.582648999989</v>
      </c>
      <c r="L69" s="2">
        <v>103.95535037503601</v>
      </c>
      <c r="M69" s="2">
        <v>59.917224386866799</v>
      </c>
    </row>
    <row r="70" spans="1:13" x14ac:dyDescent="0.2">
      <c r="A70" s="2" t="s">
        <v>13</v>
      </c>
      <c r="B70" s="2">
        <v>69</v>
      </c>
      <c r="C70" s="2">
        <v>10</v>
      </c>
      <c r="D70" s="2">
        <v>1</v>
      </c>
      <c r="E70" s="2">
        <v>1</v>
      </c>
      <c r="F70" s="2">
        <v>3.1923015000065802</v>
      </c>
      <c r="G70" s="2" t="s">
        <v>213</v>
      </c>
      <c r="H70" s="2" t="s">
        <v>80</v>
      </c>
      <c r="I70" s="2" t="s">
        <v>16</v>
      </c>
      <c r="J70" s="2" t="s">
        <v>214</v>
      </c>
      <c r="K70" s="2">
        <v>103.96259983338</v>
      </c>
      <c r="L70" s="2">
        <v>107.154928208329</v>
      </c>
      <c r="M70" s="2">
        <v>59.917224386866799</v>
      </c>
    </row>
    <row r="71" spans="1:13" x14ac:dyDescent="0.2">
      <c r="A71" s="2" t="s">
        <v>13</v>
      </c>
      <c r="B71" s="2">
        <v>70</v>
      </c>
      <c r="C71" s="2">
        <v>5</v>
      </c>
      <c r="D71" s="2">
        <v>1</v>
      </c>
      <c r="E71" s="2">
        <v>1</v>
      </c>
      <c r="F71" s="2">
        <v>1.48086587502621</v>
      </c>
      <c r="G71" s="2" t="s">
        <v>215</v>
      </c>
      <c r="H71" s="2" t="s">
        <v>216</v>
      </c>
      <c r="I71" s="2" t="s">
        <v>16</v>
      </c>
      <c r="J71" s="2" t="s">
        <v>217</v>
      </c>
      <c r="K71" s="2">
        <v>107.157058166689</v>
      </c>
      <c r="L71" s="2">
        <v>108.637938916683</v>
      </c>
      <c r="M71" s="2">
        <v>59.917224386866799</v>
      </c>
    </row>
    <row r="72" spans="1:13" x14ac:dyDescent="0.2">
      <c r="A72" s="2" t="s">
        <v>13</v>
      </c>
      <c r="B72" s="2">
        <v>71</v>
      </c>
      <c r="C72" s="2">
        <v>10</v>
      </c>
      <c r="D72" s="2">
        <v>1</v>
      </c>
      <c r="E72" s="2">
        <v>1</v>
      </c>
      <c r="F72" s="2">
        <v>1.41301941673737</v>
      </c>
      <c r="G72" s="2" t="s">
        <v>218</v>
      </c>
      <c r="H72" s="2" t="s">
        <v>219</v>
      </c>
      <c r="I72" s="2" t="s">
        <v>16</v>
      </c>
      <c r="J72" s="2" t="s">
        <v>220</v>
      </c>
      <c r="K72" s="2">
        <v>108.641514833318</v>
      </c>
      <c r="L72" s="2">
        <v>110.054546999978</v>
      </c>
      <c r="M72" s="2">
        <v>59.917224386866799</v>
      </c>
    </row>
    <row r="73" spans="1:13" x14ac:dyDescent="0.2">
      <c r="A73" s="2" t="s">
        <v>13</v>
      </c>
      <c r="B73" s="2">
        <v>72</v>
      </c>
      <c r="C73" s="2">
        <v>10</v>
      </c>
      <c r="D73" s="2">
        <v>1</v>
      </c>
      <c r="E73" s="2">
        <v>1</v>
      </c>
      <c r="F73" s="2">
        <v>1.84663649997674</v>
      </c>
      <c r="G73" s="2" t="s">
        <v>221</v>
      </c>
      <c r="H73" s="2" t="s">
        <v>222</v>
      </c>
      <c r="I73" s="2" t="s">
        <v>16</v>
      </c>
      <c r="J73" s="2" t="s">
        <v>223</v>
      </c>
      <c r="K73" s="2">
        <v>110.05798887508</v>
      </c>
      <c r="L73" s="2">
        <v>111.904641541652</v>
      </c>
      <c r="M73" s="2">
        <v>59.917224386866799</v>
      </c>
    </row>
    <row r="74" spans="1:13" x14ac:dyDescent="0.2">
      <c r="A74" s="2" t="s">
        <v>13</v>
      </c>
      <c r="B74" s="2">
        <v>73</v>
      </c>
      <c r="C74" s="2">
        <v>5</v>
      </c>
      <c r="D74" s="2">
        <v>1</v>
      </c>
      <c r="E74" s="2">
        <v>1</v>
      </c>
      <c r="F74" s="2">
        <v>1.23132095835172</v>
      </c>
      <c r="G74" s="2" t="s">
        <v>224</v>
      </c>
      <c r="H74" s="2" t="s">
        <v>225</v>
      </c>
      <c r="I74" s="2" t="s">
        <v>16</v>
      </c>
      <c r="J74" s="2" t="s">
        <v>226</v>
      </c>
      <c r="K74" s="2">
        <v>111.906585208373</v>
      </c>
      <c r="L74" s="2">
        <v>113.137921708403</v>
      </c>
      <c r="M74" s="2">
        <v>59.917224386866799</v>
      </c>
    </row>
    <row r="75" spans="1:13" x14ac:dyDescent="0.2">
      <c r="A75" s="2" t="s">
        <v>13</v>
      </c>
      <c r="B75" s="2">
        <v>74</v>
      </c>
      <c r="C75" s="2">
        <v>5</v>
      </c>
      <c r="D75" s="2">
        <v>1</v>
      </c>
      <c r="E75" s="2">
        <v>1</v>
      </c>
      <c r="F75" s="2">
        <v>1.18131649994757</v>
      </c>
      <c r="G75" s="2" t="s">
        <v>227</v>
      </c>
      <c r="H75" s="2" t="s">
        <v>88</v>
      </c>
      <c r="I75" s="2" t="s">
        <v>16</v>
      </c>
      <c r="J75" s="2" t="s">
        <v>228</v>
      </c>
      <c r="K75" s="2">
        <v>113.13985700008899</v>
      </c>
      <c r="L75" s="2">
        <v>114.32118866674099</v>
      </c>
      <c r="M75" s="2">
        <v>59.917224386866799</v>
      </c>
    </row>
    <row r="76" spans="1:13" x14ac:dyDescent="0.2">
      <c r="A76" s="2" t="s">
        <v>13</v>
      </c>
      <c r="B76" s="2">
        <v>75</v>
      </c>
      <c r="C76" s="2">
        <v>5</v>
      </c>
      <c r="D76" s="2">
        <v>1</v>
      </c>
      <c r="E76" s="2">
        <v>1</v>
      </c>
      <c r="F76" s="2">
        <v>1.5147262917598701</v>
      </c>
      <c r="G76" s="2" t="s">
        <v>229</v>
      </c>
      <c r="H76" s="2" t="s">
        <v>129</v>
      </c>
      <c r="I76" s="2" t="s">
        <v>16</v>
      </c>
      <c r="J76" s="2" t="s">
        <v>230</v>
      </c>
      <c r="K76" s="2">
        <v>114.32317691668899</v>
      </c>
      <c r="L76" s="2">
        <v>115.83791833335999</v>
      </c>
      <c r="M76" s="2">
        <v>59.917224386866799</v>
      </c>
    </row>
    <row r="77" spans="1:13" x14ac:dyDescent="0.2">
      <c r="A77" s="2" t="s">
        <v>13</v>
      </c>
      <c r="B77" s="2">
        <v>76</v>
      </c>
      <c r="C77" s="2">
        <v>5</v>
      </c>
      <c r="D77" s="2">
        <v>1</v>
      </c>
      <c r="E77" s="2">
        <v>1</v>
      </c>
      <c r="F77" s="2">
        <v>1.18129216670059</v>
      </c>
      <c r="G77" s="2" t="s">
        <v>97</v>
      </c>
      <c r="H77" s="2" t="s">
        <v>231</v>
      </c>
      <c r="I77" s="2" t="s">
        <v>16</v>
      </c>
      <c r="J77" s="2" t="s">
        <v>232</v>
      </c>
      <c r="K77" s="2">
        <v>115.839859291678</v>
      </c>
      <c r="L77" s="2">
        <v>117.021175583359</v>
      </c>
      <c r="M77" s="2">
        <v>59.917224386866799</v>
      </c>
    </row>
    <row r="78" spans="1:13" x14ac:dyDescent="0.2">
      <c r="A78" s="2" t="s">
        <v>13</v>
      </c>
      <c r="B78" s="2">
        <v>77</v>
      </c>
      <c r="C78" s="2">
        <v>10</v>
      </c>
      <c r="D78" s="2">
        <v>1</v>
      </c>
      <c r="E78" s="2">
        <v>1</v>
      </c>
      <c r="F78" s="2">
        <v>1.24642045830842</v>
      </c>
      <c r="G78" s="2" t="s">
        <v>233</v>
      </c>
      <c r="H78" s="2" t="s">
        <v>234</v>
      </c>
      <c r="I78" s="2" t="s">
        <v>16</v>
      </c>
      <c r="J78" s="2" t="s">
        <v>235</v>
      </c>
      <c r="K78" s="2">
        <v>117.024750041659</v>
      </c>
      <c r="L78" s="2">
        <v>118.271182291675</v>
      </c>
      <c r="M78" s="2">
        <v>59.917224386866799</v>
      </c>
    </row>
    <row r="79" spans="1:13" x14ac:dyDescent="0.2">
      <c r="A79" s="2" t="s">
        <v>13</v>
      </c>
      <c r="B79" s="2">
        <v>78</v>
      </c>
      <c r="C79" s="2">
        <v>5</v>
      </c>
      <c r="D79" s="2">
        <v>1</v>
      </c>
      <c r="E79" s="2">
        <v>1</v>
      </c>
      <c r="F79" s="2">
        <v>1.93145395827014</v>
      </c>
      <c r="G79" s="2" t="s">
        <v>236</v>
      </c>
      <c r="H79" s="2" t="s">
        <v>237</v>
      </c>
      <c r="I79" s="2" t="s">
        <v>16</v>
      </c>
      <c r="J79" s="2" t="s">
        <v>238</v>
      </c>
      <c r="K79" s="2">
        <v>118.273059875006</v>
      </c>
      <c r="L79" s="2">
        <v>120.20452741673201</v>
      </c>
      <c r="M79" s="2">
        <v>59.917224386866799</v>
      </c>
    </row>
    <row r="80" spans="1:13" x14ac:dyDescent="0.2">
      <c r="A80" s="2" t="s">
        <v>13</v>
      </c>
      <c r="B80" s="2">
        <v>79</v>
      </c>
      <c r="C80" s="2">
        <v>10</v>
      </c>
      <c r="D80" s="2">
        <v>1</v>
      </c>
      <c r="E80" s="2">
        <v>1</v>
      </c>
      <c r="F80" s="2">
        <v>1.72974108334165</v>
      </c>
      <c r="G80" s="2" t="s">
        <v>239</v>
      </c>
      <c r="H80" s="2" t="s">
        <v>240</v>
      </c>
      <c r="I80" s="2" t="s">
        <v>16</v>
      </c>
      <c r="J80" s="2" t="s">
        <v>241</v>
      </c>
      <c r="K80" s="2">
        <v>120.208100125077</v>
      </c>
      <c r="L80" s="2">
        <v>121.937861000071</v>
      </c>
      <c r="M80" s="2">
        <v>59.917224386866799</v>
      </c>
    </row>
    <row r="81" spans="1:13" x14ac:dyDescent="0.2">
      <c r="A81" s="2" t="s">
        <v>13</v>
      </c>
      <c r="B81" s="2">
        <v>80</v>
      </c>
      <c r="C81" s="2">
        <v>10</v>
      </c>
      <c r="D81" s="2">
        <v>1</v>
      </c>
      <c r="E81" s="2">
        <v>1</v>
      </c>
      <c r="F81" s="2">
        <v>2.0962501249741798</v>
      </c>
      <c r="G81" s="2" t="s">
        <v>242</v>
      </c>
      <c r="H81" s="2" t="s">
        <v>243</v>
      </c>
      <c r="I81" s="2" t="s">
        <v>16</v>
      </c>
      <c r="J81" s="2" t="s">
        <v>244</v>
      </c>
      <c r="K81" s="2">
        <v>121.94145908334799</v>
      </c>
      <c r="L81" s="2">
        <v>124.03772383334601</v>
      </c>
      <c r="M81" s="2">
        <v>59.917224386866799</v>
      </c>
    </row>
    <row r="82" spans="1:13" x14ac:dyDescent="0.2">
      <c r="A82" s="2" t="s">
        <v>13</v>
      </c>
      <c r="B82" s="2">
        <v>81</v>
      </c>
      <c r="C82" s="2">
        <v>5</v>
      </c>
      <c r="D82" s="2">
        <v>1</v>
      </c>
      <c r="E82" s="2">
        <v>1</v>
      </c>
      <c r="F82" s="2">
        <v>1.74847233342007</v>
      </c>
      <c r="G82" s="2" t="s">
        <v>150</v>
      </c>
      <c r="H82" s="2" t="s">
        <v>245</v>
      </c>
      <c r="I82" s="2" t="s">
        <v>16</v>
      </c>
      <c r="J82" s="2" t="s">
        <v>246</v>
      </c>
      <c r="K82" s="2">
        <v>124.039581499994</v>
      </c>
      <c r="L82" s="2">
        <v>125.788066875073</v>
      </c>
      <c r="M82" s="2">
        <v>59.917224386866799</v>
      </c>
    </row>
    <row r="83" spans="1:13" x14ac:dyDescent="0.2">
      <c r="A83" s="2" t="s">
        <v>13</v>
      </c>
      <c r="B83" s="2">
        <v>82</v>
      </c>
      <c r="C83" s="2">
        <v>10</v>
      </c>
      <c r="D83" s="2">
        <v>1</v>
      </c>
      <c r="E83" s="2">
        <v>1</v>
      </c>
      <c r="F83" s="2">
        <v>1.0128850833280001</v>
      </c>
      <c r="G83" s="2" t="s">
        <v>247</v>
      </c>
      <c r="H83" s="2" t="s">
        <v>248</v>
      </c>
      <c r="I83" s="2" t="s">
        <v>16</v>
      </c>
      <c r="J83" s="2" t="s">
        <v>249</v>
      </c>
      <c r="K83" s="2">
        <v>125.79167566669599</v>
      </c>
      <c r="L83" s="2">
        <v>126.804574458394</v>
      </c>
      <c r="M83" s="2">
        <v>59.917224386866799</v>
      </c>
    </row>
    <row r="84" spans="1:13" x14ac:dyDescent="0.2">
      <c r="A84" s="2" t="s">
        <v>13</v>
      </c>
      <c r="B84" s="2">
        <v>83</v>
      </c>
      <c r="C84" s="2">
        <v>5</v>
      </c>
      <c r="D84" s="2">
        <v>1</v>
      </c>
      <c r="E84" s="2">
        <v>1</v>
      </c>
      <c r="F84" s="2">
        <v>1.1975155000109201</v>
      </c>
      <c r="G84" s="2" t="s">
        <v>250</v>
      </c>
      <c r="H84" s="2" t="s">
        <v>251</v>
      </c>
      <c r="I84" s="2" t="s">
        <v>16</v>
      </c>
      <c r="J84" s="2" t="s">
        <v>252</v>
      </c>
      <c r="K84" s="2">
        <v>126.806745708338</v>
      </c>
      <c r="L84" s="2">
        <v>128.00427604175599</v>
      </c>
      <c r="M84" s="2">
        <v>59.917224386866799</v>
      </c>
    </row>
    <row r="85" spans="1:13" x14ac:dyDescent="0.2">
      <c r="A85" s="2" t="s">
        <v>13</v>
      </c>
      <c r="B85" s="2">
        <v>84</v>
      </c>
      <c r="C85" s="2">
        <v>5</v>
      </c>
      <c r="D85" s="2">
        <v>1</v>
      </c>
      <c r="E85" s="2">
        <v>1</v>
      </c>
      <c r="F85" s="2">
        <v>1.23169529170264</v>
      </c>
      <c r="G85" s="2" t="s">
        <v>253</v>
      </c>
      <c r="H85" s="2" t="s">
        <v>254</v>
      </c>
      <c r="I85" s="2" t="s">
        <v>16</v>
      </c>
      <c r="J85" s="2" t="s">
        <v>255</v>
      </c>
      <c r="K85" s="2">
        <v>128.00625500001499</v>
      </c>
      <c r="L85" s="2">
        <v>129.2379632917</v>
      </c>
      <c r="M85" s="2">
        <v>59.917224386866799</v>
      </c>
    </row>
    <row r="86" spans="1:13" x14ac:dyDescent="0.2">
      <c r="A86" s="2" t="s">
        <v>13</v>
      </c>
      <c r="B86" s="2">
        <v>85</v>
      </c>
      <c r="C86" s="2">
        <v>5</v>
      </c>
      <c r="D86" s="2">
        <v>1</v>
      </c>
      <c r="E86" s="2">
        <v>1</v>
      </c>
      <c r="F86" s="2">
        <v>1.14789845829364</v>
      </c>
      <c r="G86" s="2" t="s">
        <v>256</v>
      </c>
      <c r="H86" s="2" t="s">
        <v>257</v>
      </c>
      <c r="I86" s="2" t="s">
        <v>16</v>
      </c>
      <c r="J86" s="2" t="s">
        <v>258</v>
      </c>
      <c r="K86" s="2">
        <v>129.23982474999499</v>
      </c>
      <c r="L86" s="2">
        <v>130.38773595832799</v>
      </c>
      <c r="M86" s="2">
        <v>59.917224386866799</v>
      </c>
    </row>
    <row r="87" spans="1:13" x14ac:dyDescent="0.2">
      <c r="A87" s="2" t="s">
        <v>13</v>
      </c>
      <c r="B87" s="2">
        <v>86</v>
      </c>
      <c r="C87" s="2">
        <v>5</v>
      </c>
      <c r="D87" s="2">
        <v>1</v>
      </c>
      <c r="E87" s="2">
        <v>1</v>
      </c>
      <c r="F87" s="2">
        <v>1.66503333335277</v>
      </c>
      <c r="G87" s="2" t="s">
        <v>259</v>
      </c>
      <c r="H87" s="2" t="s">
        <v>260</v>
      </c>
      <c r="I87" s="2" t="s">
        <v>16</v>
      </c>
      <c r="J87" s="2" t="s">
        <v>261</v>
      </c>
      <c r="K87" s="2">
        <v>130.38959400006601</v>
      </c>
      <c r="L87" s="2">
        <v>132.054644333315</v>
      </c>
      <c r="M87" s="2">
        <v>59.917224386866799</v>
      </c>
    </row>
    <row r="88" spans="1:13" x14ac:dyDescent="0.2">
      <c r="A88" s="2" t="s">
        <v>13</v>
      </c>
      <c r="B88" s="2">
        <v>87</v>
      </c>
      <c r="C88" s="2">
        <v>5</v>
      </c>
      <c r="D88" s="2">
        <v>1</v>
      </c>
      <c r="E88" s="2">
        <v>1</v>
      </c>
      <c r="F88" s="2">
        <v>2.08112804160919</v>
      </c>
      <c r="G88" s="2" t="s">
        <v>262</v>
      </c>
      <c r="H88" s="2" t="s">
        <v>263</v>
      </c>
      <c r="I88" s="2" t="s">
        <v>16</v>
      </c>
      <c r="J88" s="2" t="s">
        <v>264</v>
      </c>
      <c r="K88" s="2">
        <v>132.05667708336799</v>
      </c>
      <c r="L88" s="2">
        <v>134.13781783333999</v>
      </c>
      <c r="M88" s="2">
        <v>59.917224386866799</v>
      </c>
    </row>
    <row r="89" spans="1:13" x14ac:dyDescent="0.2">
      <c r="A89" s="2" t="s">
        <v>13</v>
      </c>
      <c r="B89" s="2">
        <v>88</v>
      </c>
      <c r="C89" s="2">
        <v>10</v>
      </c>
      <c r="D89" s="2">
        <v>1</v>
      </c>
      <c r="E89" s="2">
        <v>1</v>
      </c>
      <c r="F89" s="2">
        <v>1.24645470839459</v>
      </c>
      <c r="G89" s="2" t="s">
        <v>158</v>
      </c>
      <c r="H89" s="2" t="s">
        <v>53</v>
      </c>
      <c r="I89" s="2" t="s">
        <v>16</v>
      </c>
      <c r="J89" s="2" t="s">
        <v>265</v>
      </c>
      <c r="K89" s="2">
        <v>134.14136983337801</v>
      </c>
      <c r="L89" s="2">
        <v>135.38783945841701</v>
      </c>
      <c r="M89" s="2">
        <v>59.917224386866799</v>
      </c>
    </row>
    <row r="90" spans="1:13" x14ac:dyDescent="0.2">
      <c r="A90" s="2" t="s">
        <v>13</v>
      </c>
      <c r="B90" s="2">
        <v>89</v>
      </c>
      <c r="C90" s="2">
        <v>10</v>
      </c>
      <c r="D90" s="2">
        <v>1</v>
      </c>
      <c r="E90" s="2">
        <v>1</v>
      </c>
      <c r="F90" s="2">
        <v>1.7963212083559501</v>
      </c>
      <c r="G90" s="2" t="s">
        <v>266</v>
      </c>
      <c r="H90" s="2" t="s">
        <v>267</v>
      </c>
      <c r="I90" s="2" t="s">
        <v>16</v>
      </c>
      <c r="J90" s="2" t="s">
        <v>268</v>
      </c>
      <c r="K90" s="2">
        <v>135.39147312508399</v>
      </c>
      <c r="L90" s="2">
        <v>137.18780837499099</v>
      </c>
      <c r="M90" s="2">
        <v>59.917224386866799</v>
      </c>
    </row>
    <row r="91" spans="1:13" x14ac:dyDescent="0.2">
      <c r="A91" s="2" t="s">
        <v>13</v>
      </c>
      <c r="B91" s="2">
        <v>90</v>
      </c>
      <c r="C91" s="2">
        <v>10</v>
      </c>
      <c r="D91" s="2">
        <v>1</v>
      </c>
      <c r="E91" s="2">
        <v>1</v>
      </c>
      <c r="F91" s="2">
        <v>1.5795769999967899</v>
      </c>
      <c r="G91" s="2" t="s">
        <v>52</v>
      </c>
      <c r="H91" s="2" t="s">
        <v>269</v>
      </c>
      <c r="I91" s="2" t="s">
        <v>16</v>
      </c>
      <c r="J91" s="2" t="s">
        <v>270</v>
      </c>
      <c r="K91" s="2">
        <v>137.19138133339601</v>
      </c>
      <c r="L91" s="2">
        <v>138.77097079169499</v>
      </c>
      <c r="M91" s="2">
        <v>59.917224386866799</v>
      </c>
    </row>
    <row r="92" spans="1:13" x14ac:dyDescent="0.2">
      <c r="A92" s="2" t="s">
        <v>13</v>
      </c>
      <c r="B92" s="2">
        <v>91</v>
      </c>
      <c r="C92" s="2">
        <v>5</v>
      </c>
      <c r="D92" s="2">
        <v>1</v>
      </c>
      <c r="E92" s="2">
        <v>1</v>
      </c>
      <c r="F92" s="2">
        <v>1.58174112497363</v>
      </c>
      <c r="G92" s="2" t="s">
        <v>88</v>
      </c>
      <c r="H92" s="2" t="s">
        <v>271</v>
      </c>
      <c r="I92" s="2" t="s">
        <v>16</v>
      </c>
      <c r="J92" s="2" t="s">
        <v>272</v>
      </c>
      <c r="K92" s="2">
        <v>138.772802125081</v>
      </c>
      <c r="L92" s="2">
        <v>140.354553958401</v>
      </c>
      <c r="M92" s="2">
        <v>59.917224386866799</v>
      </c>
    </row>
    <row r="93" spans="1:13" x14ac:dyDescent="0.2">
      <c r="A93" s="2" t="s">
        <v>13</v>
      </c>
      <c r="B93" s="2">
        <v>92</v>
      </c>
      <c r="C93" s="2">
        <v>10</v>
      </c>
      <c r="D93" s="2">
        <v>1</v>
      </c>
      <c r="E93" s="2">
        <v>1</v>
      </c>
      <c r="F93" s="2">
        <v>1.4130232917377701</v>
      </c>
      <c r="G93" s="2" t="s">
        <v>234</v>
      </c>
      <c r="H93" s="2" t="s">
        <v>273</v>
      </c>
      <c r="I93" s="2" t="s">
        <v>16</v>
      </c>
      <c r="J93" s="2" t="s">
        <v>274</v>
      </c>
      <c r="K93" s="2">
        <v>140.35817512509001</v>
      </c>
      <c r="L93" s="2">
        <v>141.77121062506899</v>
      </c>
      <c r="M93" s="2">
        <v>59.917224386866799</v>
      </c>
    </row>
    <row r="94" spans="1:13" x14ac:dyDescent="0.2">
      <c r="A94" s="2" t="s">
        <v>13</v>
      </c>
      <c r="B94" s="2">
        <v>93</v>
      </c>
      <c r="C94" s="2">
        <v>5</v>
      </c>
      <c r="D94" s="2">
        <v>1</v>
      </c>
      <c r="E94" s="2">
        <v>1</v>
      </c>
      <c r="F94" s="2">
        <v>1.09809175005648</v>
      </c>
      <c r="G94" s="2" t="s">
        <v>275</v>
      </c>
      <c r="H94" s="2" t="s">
        <v>276</v>
      </c>
      <c r="I94" s="2" t="s">
        <v>16</v>
      </c>
      <c r="J94" s="2" t="s">
        <v>277</v>
      </c>
      <c r="K94" s="2">
        <v>141.77302395831799</v>
      </c>
      <c r="L94" s="2">
        <v>142.871131375083</v>
      </c>
      <c r="M94" s="2">
        <v>59.917224386866799</v>
      </c>
    </row>
    <row r="95" spans="1:13" x14ac:dyDescent="0.2">
      <c r="A95" s="2" t="s">
        <v>13</v>
      </c>
      <c r="B95" s="2">
        <v>94</v>
      </c>
      <c r="C95" s="2">
        <v>10</v>
      </c>
      <c r="D95" s="2">
        <v>1</v>
      </c>
      <c r="E95" s="2">
        <v>1</v>
      </c>
      <c r="F95" s="2">
        <v>1.02967866673134</v>
      </c>
      <c r="G95" s="2" t="s">
        <v>152</v>
      </c>
      <c r="H95" s="2" t="s">
        <v>278</v>
      </c>
      <c r="I95" s="2" t="s">
        <v>16</v>
      </c>
      <c r="J95" s="2" t="s">
        <v>279</v>
      </c>
      <c r="K95" s="2">
        <v>142.87477112503299</v>
      </c>
      <c r="L95" s="2">
        <v>143.90446316672001</v>
      </c>
      <c r="M95" s="2">
        <v>59.917224386866799</v>
      </c>
    </row>
    <row r="96" spans="1:13" x14ac:dyDescent="0.2">
      <c r="A96" s="2" t="s">
        <v>13</v>
      </c>
      <c r="B96" s="2">
        <v>95</v>
      </c>
      <c r="C96" s="2">
        <v>5</v>
      </c>
      <c r="D96" s="2">
        <v>1</v>
      </c>
      <c r="E96" s="2">
        <v>1</v>
      </c>
      <c r="F96" s="2">
        <v>1.46460237493739</v>
      </c>
      <c r="G96" s="2" t="s">
        <v>280</v>
      </c>
      <c r="H96" s="2" t="s">
        <v>169</v>
      </c>
      <c r="I96" s="2" t="s">
        <v>16</v>
      </c>
      <c r="J96" s="2" t="s">
        <v>281</v>
      </c>
      <c r="K96" s="2">
        <v>143.90656933339801</v>
      </c>
      <c r="L96" s="2">
        <v>145.37118512508499</v>
      </c>
      <c r="M96" s="2">
        <v>59.917224386866799</v>
      </c>
    </row>
    <row r="97" spans="1:13" x14ac:dyDescent="0.2">
      <c r="A97" s="2" t="s">
        <v>13</v>
      </c>
      <c r="B97" s="2">
        <v>96</v>
      </c>
      <c r="C97" s="2">
        <v>5</v>
      </c>
      <c r="D97" s="2">
        <v>1</v>
      </c>
      <c r="E97" s="2">
        <v>1</v>
      </c>
      <c r="F97" s="2">
        <v>0.98116966662928495</v>
      </c>
      <c r="G97" s="2" t="s">
        <v>282</v>
      </c>
      <c r="H97" s="2" t="s">
        <v>283</v>
      </c>
      <c r="I97" s="2" t="s">
        <v>16</v>
      </c>
      <c r="J97" s="2" t="s">
        <v>284</v>
      </c>
      <c r="K97" s="2">
        <v>145.37313904170901</v>
      </c>
      <c r="L97" s="2">
        <v>146.35432195838101</v>
      </c>
      <c r="M97" s="2">
        <v>59.917224386866799</v>
      </c>
    </row>
    <row r="98" spans="1:13" x14ac:dyDescent="0.2">
      <c r="A98" s="2" t="s">
        <v>13</v>
      </c>
      <c r="B98" s="2">
        <v>97</v>
      </c>
      <c r="C98" s="2">
        <v>10</v>
      </c>
      <c r="D98" s="2">
        <v>1</v>
      </c>
      <c r="E98" s="2">
        <v>1</v>
      </c>
      <c r="F98" s="2">
        <v>1.86307800002396</v>
      </c>
      <c r="G98" s="2" t="s">
        <v>285</v>
      </c>
      <c r="H98" s="2" t="s">
        <v>286</v>
      </c>
      <c r="I98" s="2" t="s">
        <v>16</v>
      </c>
      <c r="J98" s="2" t="s">
        <v>287</v>
      </c>
      <c r="K98" s="2">
        <v>146.35786587500499</v>
      </c>
      <c r="L98" s="2">
        <v>148.22095529164699</v>
      </c>
      <c r="M98" s="2">
        <v>59.917224386866799</v>
      </c>
    </row>
    <row r="99" spans="1:13" x14ac:dyDescent="0.2">
      <c r="A99" s="2" t="s">
        <v>13</v>
      </c>
      <c r="B99" s="2">
        <v>98</v>
      </c>
      <c r="C99" s="2">
        <v>5</v>
      </c>
      <c r="D99" s="2">
        <v>1</v>
      </c>
      <c r="E99" s="2">
        <v>1</v>
      </c>
      <c r="F99" s="2">
        <v>1.5483827500138401</v>
      </c>
      <c r="G99" s="2" t="s">
        <v>288</v>
      </c>
      <c r="H99" s="2" t="s">
        <v>289</v>
      </c>
      <c r="I99" s="2" t="s">
        <v>16</v>
      </c>
      <c r="J99" s="2" t="s">
        <v>290</v>
      </c>
      <c r="K99" s="2">
        <v>148.222840250004</v>
      </c>
      <c r="L99" s="2">
        <v>149.771235791734</v>
      </c>
      <c r="M99" s="2">
        <v>59.917224386866799</v>
      </c>
    </row>
    <row r="100" spans="1:13" x14ac:dyDescent="0.2">
      <c r="A100" s="2" t="s">
        <v>13</v>
      </c>
      <c r="B100" s="2">
        <v>99</v>
      </c>
      <c r="C100" s="2">
        <v>10</v>
      </c>
      <c r="D100" s="2">
        <v>2</v>
      </c>
      <c r="E100" s="2">
        <v>0</v>
      </c>
      <c r="F100" s="2">
        <v>2.9128489582799402</v>
      </c>
      <c r="G100" s="2" t="s">
        <v>291</v>
      </c>
      <c r="H100" s="2" t="s">
        <v>292</v>
      </c>
      <c r="I100" s="2" t="s">
        <v>23</v>
      </c>
      <c r="J100" s="2" t="s">
        <v>293</v>
      </c>
      <c r="K100" s="2">
        <v>149.77481708337999</v>
      </c>
      <c r="L100" s="2">
        <v>152.68767933338</v>
      </c>
      <c r="M100" s="2">
        <v>59.917224386866799</v>
      </c>
    </row>
    <row r="101" spans="1:13" x14ac:dyDescent="0.2">
      <c r="A101" s="2" t="s">
        <v>13</v>
      </c>
      <c r="B101" s="2">
        <v>100</v>
      </c>
      <c r="C101" s="2">
        <v>5</v>
      </c>
      <c r="D101" s="2">
        <v>1</v>
      </c>
      <c r="E101" s="2">
        <v>1</v>
      </c>
      <c r="F101" s="2">
        <v>1.33126899995841</v>
      </c>
      <c r="G101" s="2" t="s">
        <v>294</v>
      </c>
      <c r="H101" s="2" t="s">
        <v>205</v>
      </c>
      <c r="I101" s="2" t="s">
        <v>16</v>
      </c>
      <c r="J101" s="2" t="s">
        <v>295</v>
      </c>
      <c r="K101" s="2">
        <v>152.689769583405</v>
      </c>
      <c r="L101" s="2">
        <v>154.021064208355</v>
      </c>
      <c r="M101" s="2">
        <v>59.917224386866799</v>
      </c>
    </row>
    <row r="102" spans="1:13" x14ac:dyDescent="0.2">
      <c r="A102" s="2" t="s">
        <v>13</v>
      </c>
      <c r="B102" s="2">
        <v>101</v>
      </c>
      <c r="C102" s="2">
        <v>10</v>
      </c>
      <c r="D102" s="2">
        <v>1</v>
      </c>
      <c r="E102" s="2">
        <v>1</v>
      </c>
      <c r="F102" s="2">
        <v>1.9127396250842099</v>
      </c>
      <c r="G102" s="2" t="s">
        <v>296</v>
      </c>
      <c r="H102" s="2" t="s">
        <v>297</v>
      </c>
      <c r="I102" s="2" t="s">
        <v>16</v>
      </c>
      <c r="J102" s="2" t="s">
        <v>298</v>
      </c>
      <c r="K102" s="2">
        <v>154.02486508339601</v>
      </c>
      <c r="L102" s="2">
        <v>155.937617333373</v>
      </c>
      <c r="M102" s="2">
        <v>59.917224386866799</v>
      </c>
    </row>
    <row r="103" spans="1:13" x14ac:dyDescent="0.2">
      <c r="A103" s="2" t="s">
        <v>13</v>
      </c>
      <c r="B103" s="2">
        <v>102</v>
      </c>
      <c r="C103" s="2">
        <v>10</v>
      </c>
      <c r="D103" s="2">
        <v>1</v>
      </c>
      <c r="E103" s="2">
        <v>1</v>
      </c>
      <c r="F103" s="2">
        <v>1.1131492916029</v>
      </c>
      <c r="G103" s="2" t="s">
        <v>299</v>
      </c>
      <c r="H103" s="2" t="s">
        <v>300</v>
      </c>
      <c r="I103" s="2" t="s">
        <v>16</v>
      </c>
      <c r="J103" s="2" t="s">
        <v>301</v>
      </c>
      <c r="K103" s="2">
        <v>155.94110887509299</v>
      </c>
      <c r="L103" s="2">
        <v>157.05427191674201</v>
      </c>
      <c r="M103" s="2">
        <v>59.917224386866799</v>
      </c>
    </row>
    <row r="104" spans="1:13" x14ac:dyDescent="0.2">
      <c r="A104" s="2" t="s">
        <v>13</v>
      </c>
      <c r="B104" s="2">
        <v>103</v>
      </c>
      <c r="C104" s="2">
        <v>5</v>
      </c>
      <c r="D104" s="2">
        <v>1</v>
      </c>
      <c r="E104" s="2">
        <v>1</v>
      </c>
      <c r="F104" s="2">
        <v>1.14820299996063</v>
      </c>
      <c r="G104" s="2" t="s">
        <v>302</v>
      </c>
      <c r="H104" s="2" t="s">
        <v>303</v>
      </c>
      <c r="I104" s="2" t="s">
        <v>16</v>
      </c>
      <c r="J104" s="2" t="s">
        <v>304</v>
      </c>
      <c r="K104" s="2">
        <v>157.05626025004301</v>
      </c>
      <c r="L104" s="2">
        <v>158.204477208317</v>
      </c>
      <c r="M104" s="2">
        <v>59.917224386866799</v>
      </c>
    </row>
    <row r="105" spans="1:13" x14ac:dyDescent="0.2">
      <c r="A105" s="2" t="s">
        <v>13</v>
      </c>
      <c r="B105" s="2">
        <v>104</v>
      </c>
      <c r="C105" s="2">
        <v>5</v>
      </c>
      <c r="D105" s="2">
        <v>1</v>
      </c>
      <c r="E105" s="2">
        <v>1</v>
      </c>
      <c r="F105" s="2">
        <v>1.3645032084314199</v>
      </c>
      <c r="G105" s="2" t="s">
        <v>305</v>
      </c>
      <c r="H105" s="2" t="s">
        <v>306</v>
      </c>
      <c r="I105" s="2" t="s">
        <v>16</v>
      </c>
      <c r="J105" s="2" t="s">
        <v>307</v>
      </c>
      <c r="K105" s="2">
        <v>158.206352541689</v>
      </c>
      <c r="L105" s="2">
        <v>159.570866374997</v>
      </c>
      <c r="M105" s="2">
        <v>59.917224386866799</v>
      </c>
    </row>
    <row r="106" spans="1:13" x14ac:dyDescent="0.2">
      <c r="A106" s="2" t="s">
        <v>13</v>
      </c>
      <c r="B106" s="2">
        <v>105</v>
      </c>
      <c r="C106" s="2">
        <v>5</v>
      </c>
      <c r="D106" s="2">
        <v>1</v>
      </c>
      <c r="E106" s="2">
        <v>1</v>
      </c>
      <c r="F106" s="2">
        <v>1.2980971250217399</v>
      </c>
      <c r="G106" s="2" t="s">
        <v>302</v>
      </c>
      <c r="H106" s="2" t="s">
        <v>77</v>
      </c>
      <c r="I106" s="2" t="s">
        <v>16</v>
      </c>
      <c r="J106" s="2" t="s">
        <v>308</v>
      </c>
      <c r="K106" s="2">
        <v>159.572737624985</v>
      </c>
      <c r="L106" s="2">
        <v>160.870847000042</v>
      </c>
      <c r="M106" s="2">
        <v>59.917224386866799</v>
      </c>
    </row>
    <row r="107" spans="1:13" x14ac:dyDescent="0.2">
      <c r="A107" s="2" t="s">
        <v>13</v>
      </c>
      <c r="B107" s="2">
        <v>106</v>
      </c>
      <c r="C107" s="2">
        <v>5</v>
      </c>
      <c r="D107" s="2">
        <v>1</v>
      </c>
      <c r="E107" s="2">
        <v>1</v>
      </c>
      <c r="F107" s="2">
        <v>1.24835250002798</v>
      </c>
      <c r="G107" s="2" t="s">
        <v>309</v>
      </c>
      <c r="H107" s="2" t="s">
        <v>310</v>
      </c>
      <c r="I107" s="2" t="s">
        <v>16</v>
      </c>
      <c r="J107" s="2" t="s">
        <v>311</v>
      </c>
      <c r="K107" s="2">
        <v>160.872734499979</v>
      </c>
      <c r="L107" s="2">
        <v>162.12109870836099</v>
      </c>
      <c r="M107" s="2">
        <v>59.917224386866799</v>
      </c>
    </row>
    <row r="108" spans="1:13" x14ac:dyDescent="0.2">
      <c r="A108" s="2" t="s">
        <v>13</v>
      </c>
      <c r="B108" s="2">
        <v>107</v>
      </c>
      <c r="C108" s="2">
        <v>10</v>
      </c>
      <c r="D108" s="2">
        <v>1</v>
      </c>
      <c r="E108" s="2">
        <v>1</v>
      </c>
      <c r="F108" s="2">
        <v>1.6963860833784601</v>
      </c>
      <c r="G108" s="2" t="s">
        <v>312</v>
      </c>
      <c r="H108" s="2" t="s">
        <v>15</v>
      </c>
      <c r="I108" s="2" t="s">
        <v>16</v>
      </c>
      <c r="J108" s="2" t="s">
        <v>313</v>
      </c>
      <c r="K108" s="2">
        <v>162.124596333364</v>
      </c>
      <c r="L108" s="2">
        <v>163.82099704165</v>
      </c>
      <c r="M108" s="2">
        <v>59.917224386866799</v>
      </c>
    </row>
    <row r="109" spans="1:13" x14ac:dyDescent="0.2">
      <c r="A109" s="2" t="s">
        <v>13</v>
      </c>
      <c r="B109" s="2">
        <v>108</v>
      </c>
      <c r="C109" s="2">
        <v>10</v>
      </c>
      <c r="D109" s="2">
        <v>1</v>
      </c>
      <c r="E109" s="2">
        <v>1</v>
      </c>
      <c r="F109" s="2">
        <v>1.87984695832711</v>
      </c>
      <c r="G109" s="2" t="s">
        <v>314</v>
      </c>
      <c r="H109" s="2" t="s">
        <v>315</v>
      </c>
      <c r="I109" s="2" t="s">
        <v>16</v>
      </c>
      <c r="J109" s="2" t="s">
        <v>316</v>
      </c>
      <c r="K109" s="2">
        <v>163.82463212509199</v>
      </c>
      <c r="L109" s="2">
        <v>165.70449324999899</v>
      </c>
      <c r="M109" s="2">
        <v>59.917224386866799</v>
      </c>
    </row>
    <row r="110" spans="1:13" x14ac:dyDescent="0.2">
      <c r="A110" s="2" t="s">
        <v>13</v>
      </c>
      <c r="B110" s="2">
        <v>109</v>
      </c>
      <c r="C110" s="2">
        <v>5</v>
      </c>
      <c r="D110" s="2">
        <v>1</v>
      </c>
      <c r="E110" s="2">
        <v>1</v>
      </c>
      <c r="F110" s="2">
        <v>0.98123174998909202</v>
      </c>
      <c r="G110" s="2" t="s">
        <v>317</v>
      </c>
      <c r="H110" s="2" t="s">
        <v>318</v>
      </c>
      <c r="I110" s="2" t="s">
        <v>16</v>
      </c>
      <c r="J110" s="2" t="s">
        <v>319</v>
      </c>
      <c r="K110" s="2">
        <v>165.706341625075</v>
      </c>
      <c r="L110" s="2">
        <v>166.68758825003201</v>
      </c>
      <c r="M110" s="2">
        <v>59.917224386866799</v>
      </c>
    </row>
    <row r="111" spans="1:13" x14ac:dyDescent="0.2">
      <c r="A111" s="2" t="s">
        <v>13</v>
      </c>
      <c r="B111" s="2">
        <v>110</v>
      </c>
      <c r="C111" s="2">
        <v>10</v>
      </c>
      <c r="D111" s="2">
        <v>1</v>
      </c>
      <c r="E111" s="2">
        <v>1</v>
      </c>
      <c r="F111" s="2">
        <v>1.74631508335006</v>
      </c>
      <c r="G111" s="2" t="s">
        <v>320</v>
      </c>
      <c r="H111" s="2" t="s">
        <v>14</v>
      </c>
      <c r="I111" s="2" t="s">
        <v>16</v>
      </c>
      <c r="J111" s="2" t="s">
        <v>321</v>
      </c>
      <c r="K111" s="2">
        <v>166.69133691676001</v>
      </c>
      <c r="L111" s="2">
        <v>168.43766516668299</v>
      </c>
      <c r="M111" s="2">
        <v>59.917224386866799</v>
      </c>
    </row>
    <row r="112" spans="1:13" x14ac:dyDescent="0.2">
      <c r="A112" s="2" t="s">
        <v>13</v>
      </c>
      <c r="B112" s="2">
        <v>111</v>
      </c>
      <c r="C112" s="2">
        <v>10</v>
      </c>
      <c r="D112" s="2">
        <v>1</v>
      </c>
      <c r="E112" s="2">
        <v>1</v>
      </c>
      <c r="F112" s="2">
        <v>1.92999524995685</v>
      </c>
      <c r="G112" s="2" t="s">
        <v>322</v>
      </c>
      <c r="H112" s="2" t="s">
        <v>323</v>
      </c>
      <c r="I112" s="2" t="s">
        <v>16</v>
      </c>
      <c r="J112" s="2" t="s">
        <v>324</v>
      </c>
      <c r="K112" s="2">
        <v>168.44110791664599</v>
      </c>
      <c r="L112" s="2">
        <v>170.37112300004799</v>
      </c>
      <c r="M112" s="2">
        <v>59.917224386866799</v>
      </c>
    </row>
    <row r="113" spans="1:13" x14ac:dyDescent="0.2">
      <c r="A113" s="2" t="s">
        <v>13</v>
      </c>
      <c r="B113" s="2">
        <v>112</v>
      </c>
      <c r="C113" s="2">
        <v>5</v>
      </c>
      <c r="D113" s="2">
        <v>1</v>
      </c>
      <c r="E113" s="2">
        <v>1</v>
      </c>
      <c r="F113" s="2">
        <v>1.6314027083572</v>
      </c>
      <c r="G113" s="2" t="s">
        <v>29</v>
      </c>
      <c r="H113" s="2" t="s">
        <v>325</v>
      </c>
      <c r="I113" s="2" t="s">
        <v>16</v>
      </c>
      <c r="J113" s="2" t="s">
        <v>326</v>
      </c>
      <c r="K113" s="2">
        <v>170.373108500033</v>
      </c>
      <c r="L113" s="2">
        <v>172.00452337507201</v>
      </c>
      <c r="M113" s="2">
        <v>59.917224386866799</v>
      </c>
    </row>
    <row r="114" spans="1:13" x14ac:dyDescent="0.2">
      <c r="A114" s="2" t="s">
        <v>13</v>
      </c>
      <c r="B114" s="2">
        <v>113</v>
      </c>
      <c r="C114" s="2">
        <v>5</v>
      </c>
      <c r="D114" s="2">
        <v>1</v>
      </c>
      <c r="E114" s="2">
        <v>1</v>
      </c>
      <c r="F114" s="2">
        <v>1.3646923332708001</v>
      </c>
      <c r="G114" s="2" t="s">
        <v>327</v>
      </c>
      <c r="H114" s="2" t="s">
        <v>28</v>
      </c>
      <c r="I114" s="2" t="s">
        <v>16</v>
      </c>
      <c r="J114" s="2" t="s">
        <v>328</v>
      </c>
      <c r="K114" s="2">
        <v>172.006382333348</v>
      </c>
      <c r="L114" s="2">
        <v>173.37108975008601</v>
      </c>
      <c r="M114" s="2">
        <v>59.917224386866799</v>
      </c>
    </row>
    <row r="115" spans="1:13" x14ac:dyDescent="0.2">
      <c r="A115" s="2" t="s">
        <v>13</v>
      </c>
      <c r="B115" s="2">
        <v>114</v>
      </c>
      <c r="C115" s="2">
        <v>5</v>
      </c>
      <c r="D115" s="2">
        <v>1</v>
      </c>
      <c r="E115" s="2">
        <v>1</v>
      </c>
      <c r="F115" s="2">
        <v>1.0144871666561801</v>
      </c>
      <c r="G115" s="2" t="s">
        <v>329</v>
      </c>
      <c r="H115" s="2" t="s">
        <v>330</v>
      </c>
      <c r="I115" s="2" t="s">
        <v>16</v>
      </c>
      <c r="J115" s="2" t="s">
        <v>331</v>
      </c>
      <c r="K115" s="2">
        <v>173.37304820842101</v>
      </c>
      <c r="L115" s="2">
        <v>174.38754766667299</v>
      </c>
      <c r="M115" s="2">
        <v>59.917224386866799</v>
      </c>
    </row>
    <row r="116" spans="1:13" x14ac:dyDescent="0.2">
      <c r="A116" s="2" t="s">
        <v>13</v>
      </c>
      <c r="B116" s="2">
        <v>115</v>
      </c>
      <c r="C116" s="2">
        <v>10</v>
      </c>
      <c r="D116" s="2">
        <v>1</v>
      </c>
      <c r="E116" s="2">
        <v>1</v>
      </c>
      <c r="F116" s="2">
        <v>1.0132141666254</v>
      </c>
      <c r="G116" s="2" t="s">
        <v>248</v>
      </c>
      <c r="H116" s="2" t="s">
        <v>332</v>
      </c>
      <c r="I116" s="2" t="s">
        <v>16</v>
      </c>
      <c r="J116" s="2" t="s">
        <v>333</v>
      </c>
      <c r="K116" s="2">
        <v>174.39105812506801</v>
      </c>
      <c r="L116" s="2">
        <v>175.404285791679</v>
      </c>
      <c r="M116" s="2">
        <v>59.917224386866799</v>
      </c>
    </row>
    <row r="117" spans="1:13" x14ac:dyDescent="0.2">
      <c r="A117" s="2" t="s">
        <v>13</v>
      </c>
      <c r="B117" s="2">
        <v>116</v>
      </c>
      <c r="C117" s="2">
        <v>10</v>
      </c>
      <c r="D117" s="2">
        <v>1</v>
      </c>
      <c r="E117" s="2">
        <v>1</v>
      </c>
      <c r="F117" s="2">
        <v>1.513188333367</v>
      </c>
      <c r="G117" s="2" t="s">
        <v>334</v>
      </c>
      <c r="H117" s="2" t="s">
        <v>335</v>
      </c>
      <c r="I117" s="2" t="s">
        <v>16</v>
      </c>
      <c r="J117" s="2" t="s">
        <v>336</v>
      </c>
      <c r="K117" s="2">
        <v>175.407922249986</v>
      </c>
      <c r="L117" s="2">
        <v>176.92112445831299</v>
      </c>
      <c r="M117" s="2">
        <v>59.917224386866799</v>
      </c>
    </row>
    <row r="118" spans="1:13" x14ac:dyDescent="0.2">
      <c r="A118" s="2" t="s">
        <v>13</v>
      </c>
      <c r="B118" s="2">
        <v>117</v>
      </c>
      <c r="C118" s="2">
        <v>10</v>
      </c>
      <c r="D118" s="2">
        <v>1</v>
      </c>
      <c r="E118" s="2">
        <v>1</v>
      </c>
      <c r="F118" s="2">
        <v>1.46289579174481</v>
      </c>
      <c r="G118" s="2" t="s">
        <v>190</v>
      </c>
      <c r="H118" s="2" t="s">
        <v>337</v>
      </c>
      <c r="I118" s="2" t="s">
        <v>16</v>
      </c>
      <c r="J118" s="2" t="s">
        <v>338</v>
      </c>
      <c r="K118" s="2">
        <v>176.92480124998801</v>
      </c>
      <c r="L118" s="2">
        <v>178.38771124998999</v>
      </c>
      <c r="M118" s="2">
        <v>59.917224386866799</v>
      </c>
    </row>
    <row r="119" spans="1:13" x14ac:dyDescent="0.2">
      <c r="A119" s="2" t="s">
        <v>13</v>
      </c>
      <c r="B119" s="2">
        <v>118</v>
      </c>
      <c r="C119" s="2">
        <v>5</v>
      </c>
      <c r="D119" s="2">
        <v>1</v>
      </c>
      <c r="E119" s="2">
        <v>1</v>
      </c>
      <c r="F119" s="2">
        <v>1.7313980000326401</v>
      </c>
      <c r="G119" s="2" t="s">
        <v>339</v>
      </c>
      <c r="H119" s="2" t="s">
        <v>340</v>
      </c>
      <c r="I119" s="2" t="s">
        <v>16</v>
      </c>
      <c r="J119" s="2" t="s">
        <v>341</v>
      </c>
      <c r="K119" s="2">
        <v>178.38961208332299</v>
      </c>
      <c r="L119" s="2">
        <v>180.12102362501901</v>
      </c>
      <c r="M119" s="2">
        <v>59.917224386866799</v>
      </c>
    </row>
    <row r="120" spans="1:13" x14ac:dyDescent="0.2">
      <c r="A120" s="2" t="s">
        <v>13</v>
      </c>
      <c r="B120" s="2">
        <v>119</v>
      </c>
      <c r="C120" s="2">
        <v>10</v>
      </c>
      <c r="D120" s="2">
        <v>1</v>
      </c>
      <c r="E120" s="2">
        <v>1</v>
      </c>
      <c r="F120" s="2">
        <v>2.0298169165616899</v>
      </c>
      <c r="G120" s="2" t="s">
        <v>87</v>
      </c>
      <c r="H120" s="2" t="s">
        <v>342</v>
      </c>
      <c r="I120" s="2" t="s">
        <v>16</v>
      </c>
      <c r="J120" s="2" t="s">
        <v>343</v>
      </c>
      <c r="K120" s="2">
        <v>180.12457350001199</v>
      </c>
      <c r="L120" s="2">
        <v>182.15440233331199</v>
      </c>
      <c r="M120" s="2">
        <v>59.917224386866799</v>
      </c>
    </row>
    <row r="121" spans="1:13" x14ac:dyDescent="0.2">
      <c r="A121" s="2" t="s">
        <v>13</v>
      </c>
      <c r="B121" s="2">
        <v>120</v>
      </c>
      <c r="C121" s="2">
        <v>5</v>
      </c>
      <c r="D121" s="2">
        <v>1</v>
      </c>
      <c r="E121" s="2">
        <v>1</v>
      </c>
      <c r="F121" s="2">
        <v>1.4147307917009999</v>
      </c>
      <c r="G121" s="2" t="s">
        <v>300</v>
      </c>
      <c r="H121" s="2" t="s">
        <v>344</v>
      </c>
      <c r="I121" s="2" t="s">
        <v>16</v>
      </c>
      <c r="J121" s="2" t="s">
        <v>345</v>
      </c>
      <c r="K121" s="2">
        <v>182.156281874981</v>
      </c>
      <c r="L121" s="2">
        <v>183.57102812500699</v>
      </c>
      <c r="M121" s="2">
        <v>59.917224386866799</v>
      </c>
    </row>
    <row r="122" spans="1:13" x14ac:dyDescent="0.2">
      <c r="A122" s="2" t="s">
        <v>13</v>
      </c>
      <c r="B122" s="2">
        <v>121</v>
      </c>
      <c r="C122" s="2">
        <v>5</v>
      </c>
      <c r="D122" s="2">
        <v>1</v>
      </c>
      <c r="E122" s="2">
        <v>1</v>
      </c>
      <c r="F122" s="2">
        <v>2.0978610833408302</v>
      </c>
      <c r="G122" s="2" t="s">
        <v>346</v>
      </c>
      <c r="H122" s="2" t="s">
        <v>347</v>
      </c>
      <c r="I122" s="2" t="s">
        <v>16</v>
      </c>
      <c r="J122" s="2" t="s">
        <v>348</v>
      </c>
      <c r="K122" s="2">
        <v>183.57300362503199</v>
      </c>
      <c r="L122" s="2">
        <v>185.670878333389</v>
      </c>
      <c r="M122" s="2">
        <v>59.917224386866799</v>
      </c>
    </row>
    <row r="123" spans="1:13" x14ac:dyDescent="0.2">
      <c r="A123" s="2" t="s">
        <v>13</v>
      </c>
      <c r="B123" s="2">
        <v>122</v>
      </c>
      <c r="C123" s="2">
        <v>5</v>
      </c>
      <c r="D123" s="2">
        <v>1</v>
      </c>
      <c r="E123" s="2">
        <v>1</v>
      </c>
      <c r="F123" s="2">
        <v>2.1147946666460502</v>
      </c>
      <c r="G123" s="2" t="s">
        <v>349</v>
      </c>
      <c r="H123" s="2" t="s">
        <v>38</v>
      </c>
      <c r="I123" s="2" t="s">
        <v>16</v>
      </c>
      <c r="J123" s="2" t="s">
        <v>350</v>
      </c>
      <c r="K123" s="2">
        <v>185.67284912499599</v>
      </c>
      <c r="L123" s="2">
        <v>187.78765779174901</v>
      </c>
      <c r="M123" s="2">
        <v>59.917224386866799</v>
      </c>
    </row>
    <row r="124" spans="1:13" x14ac:dyDescent="0.2">
      <c r="A124" s="2" t="s">
        <v>13</v>
      </c>
      <c r="B124" s="2">
        <v>123</v>
      </c>
      <c r="C124" s="2">
        <v>10</v>
      </c>
      <c r="D124" s="2">
        <v>1</v>
      </c>
      <c r="E124" s="2">
        <v>1</v>
      </c>
      <c r="F124" s="2">
        <v>1.39637824997772</v>
      </c>
      <c r="G124" s="2" t="s">
        <v>102</v>
      </c>
      <c r="H124" s="2" t="s">
        <v>351</v>
      </c>
      <c r="I124" s="2" t="s">
        <v>16</v>
      </c>
      <c r="J124" s="2" t="s">
        <v>352</v>
      </c>
      <c r="K124" s="2">
        <v>187.79127475002301</v>
      </c>
      <c r="L124" s="2">
        <v>189.18766733340499</v>
      </c>
      <c r="M124" s="2">
        <v>59.917224386866799</v>
      </c>
    </row>
    <row r="125" spans="1:13" x14ac:dyDescent="0.2">
      <c r="A125" s="2" t="s">
        <v>13</v>
      </c>
      <c r="B125" s="2">
        <v>124</v>
      </c>
      <c r="C125" s="2">
        <v>10</v>
      </c>
      <c r="D125" s="2">
        <v>1</v>
      </c>
      <c r="E125" s="2">
        <v>1</v>
      </c>
      <c r="F125" s="2">
        <v>1.2305349166272199</v>
      </c>
      <c r="G125" s="2" t="s">
        <v>189</v>
      </c>
      <c r="H125" s="2" t="s">
        <v>353</v>
      </c>
      <c r="I125" s="2" t="s">
        <v>16</v>
      </c>
      <c r="J125" s="2" t="s">
        <v>354</v>
      </c>
      <c r="K125" s="2">
        <v>189.19116945832499</v>
      </c>
      <c r="L125" s="2">
        <v>190.42171591671701</v>
      </c>
      <c r="M125" s="2">
        <v>59.917224386866799</v>
      </c>
    </row>
    <row r="126" spans="1:13" x14ac:dyDescent="0.2">
      <c r="A126" s="2" t="s">
        <v>13</v>
      </c>
      <c r="B126" s="2">
        <v>125</v>
      </c>
      <c r="C126" s="2">
        <v>5</v>
      </c>
      <c r="D126" s="2">
        <v>1</v>
      </c>
      <c r="E126" s="2">
        <v>1</v>
      </c>
      <c r="F126" s="2">
        <v>1.59738629159983</v>
      </c>
      <c r="G126" s="2" t="s">
        <v>355</v>
      </c>
      <c r="H126" s="2" t="s">
        <v>356</v>
      </c>
      <c r="I126" s="2" t="s">
        <v>16</v>
      </c>
      <c r="J126" s="2" t="s">
        <v>357</v>
      </c>
      <c r="K126" s="2">
        <v>190.42353204172099</v>
      </c>
      <c r="L126" s="2">
        <v>192.020932666725</v>
      </c>
      <c r="M126" s="2">
        <v>59.917224386866799</v>
      </c>
    </row>
    <row r="127" spans="1:13" x14ac:dyDescent="0.2">
      <c r="A127" s="2" t="s">
        <v>13</v>
      </c>
      <c r="B127" s="2">
        <v>126</v>
      </c>
      <c r="C127" s="2">
        <v>10</v>
      </c>
      <c r="D127" s="2">
        <v>1</v>
      </c>
      <c r="E127" s="2">
        <v>1</v>
      </c>
      <c r="F127" s="2">
        <v>2.2132702083326898</v>
      </c>
      <c r="G127" s="2" t="s">
        <v>358</v>
      </c>
      <c r="H127" s="2" t="s">
        <v>359</v>
      </c>
      <c r="I127" s="2" t="s">
        <v>16</v>
      </c>
      <c r="J127" s="2" t="s">
        <v>360</v>
      </c>
      <c r="K127" s="2">
        <v>192.02450566669</v>
      </c>
      <c r="L127" s="2">
        <v>194.23779104172701</v>
      </c>
      <c r="M127" s="2">
        <v>59.917224386866799</v>
      </c>
    </row>
    <row r="128" spans="1:13" x14ac:dyDescent="0.2">
      <c r="A128" s="2" t="s">
        <v>13</v>
      </c>
      <c r="B128" s="2">
        <v>127</v>
      </c>
      <c r="C128" s="2">
        <v>10</v>
      </c>
      <c r="D128" s="2">
        <v>1</v>
      </c>
      <c r="E128" s="2">
        <v>1</v>
      </c>
      <c r="F128" s="2">
        <v>1.31291262502782</v>
      </c>
      <c r="G128" s="2" t="s">
        <v>361</v>
      </c>
      <c r="H128" s="2" t="s">
        <v>362</v>
      </c>
      <c r="I128" s="2" t="s">
        <v>16</v>
      </c>
      <c r="J128" s="2" t="s">
        <v>363</v>
      </c>
      <c r="K128" s="2">
        <v>194.24139083339799</v>
      </c>
      <c r="L128" s="2">
        <v>195.55431770836</v>
      </c>
      <c r="M128" s="2">
        <v>59.917224386866799</v>
      </c>
    </row>
    <row r="129" spans="1:13" x14ac:dyDescent="0.2">
      <c r="A129" s="2" t="s">
        <v>13</v>
      </c>
      <c r="B129" s="2">
        <v>128</v>
      </c>
      <c r="C129" s="2">
        <v>5</v>
      </c>
      <c r="D129" s="2">
        <v>1</v>
      </c>
      <c r="E129" s="2">
        <v>1</v>
      </c>
      <c r="F129" s="2">
        <v>2.0813951666932602</v>
      </c>
      <c r="G129" s="2" t="s">
        <v>74</v>
      </c>
      <c r="H129" s="2" t="s">
        <v>179</v>
      </c>
      <c r="I129" s="2" t="s">
        <v>16</v>
      </c>
      <c r="J129" s="2" t="s">
        <v>364</v>
      </c>
      <c r="K129" s="2">
        <v>195.55624916672201</v>
      </c>
      <c r="L129" s="2">
        <v>197.637658083346</v>
      </c>
      <c r="M129" s="2">
        <v>59.917224386866799</v>
      </c>
    </row>
    <row r="130" spans="1:13" x14ac:dyDescent="0.2">
      <c r="A130" s="2" t="s">
        <v>13</v>
      </c>
      <c r="B130" s="2">
        <v>129</v>
      </c>
      <c r="C130" s="2">
        <v>5</v>
      </c>
      <c r="D130" s="2">
        <v>1</v>
      </c>
      <c r="E130" s="2">
        <v>1</v>
      </c>
      <c r="F130" s="2">
        <v>1.16470274992753</v>
      </c>
      <c r="G130" s="2" t="s">
        <v>365</v>
      </c>
      <c r="H130" s="2" t="s">
        <v>366</v>
      </c>
      <c r="I130" s="2" t="s">
        <v>16</v>
      </c>
      <c r="J130" s="2" t="s">
        <v>367</v>
      </c>
      <c r="K130" s="2">
        <v>197.63951854174999</v>
      </c>
      <c r="L130" s="2">
        <v>198.804235458374</v>
      </c>
      <c r="M130" s="2">
        <v>59.917224386866799</v>
      </c>
    </row>
    <row r="131" spans="1:13" x14ac:dyDescent="0.2">
      <c r="A131" s="2" t="s">
        <v>13</v>
      </c>
      <c r="B131" s="2">
        <v>130</v>
      </c>
      <c r="C131" s="2">
        <v>10</v>
      </c>
      <c r="D131" s="2">
        <v>1</v>
      </c>
      <c r="E131" s="2">
        <v>1</v>
      </c>
      <c r="F131" s="2">
        <v>1.8629930416354901</v>
      </c>
      <c r="G131" s="2" t="s">
        <v>368</v>
      </c>
      <c r="H131" s="2" t="s">
        <v>369</v>
      </c>
      <c r="I131" s="2" t="s">
        <v>16</v>
      </c>
      <c r="J131" s="2" t="s">
        <v>370</v>
      </c>
      <c r="K131" s="2">
        <v>198.80780233338001</v>
      </c>
      <c r="L131" s="2">
        <v>200.67080845835201</v>
      </c>
      <c r="M131" s="2">
        <v>59.917224386866799</v>
      </c>
    </row>
    <row r="132" spans="1:13" x14ac:dyDescent="0.2">
      <c r="A132" s="2" t="s">
        <v>13</v>
      </c>
      <c r="B132" s="2">
        <v>131</v>
      </c>
      <c r="C132" s="2">
        <v>10</v>
      </c>
      <c r="D132" s="2">
        <v>2</v>
      </c>
      <c r="E132" s="2">
        <v>0</v>
      </c>
      <c r="F132" s="2">
        <v>1.99649291660171</v>
      </c>
      <c r="G132" s="2" t="s">
        <v>371</v>
      </c>
      <c r="H132" s="2" t="s">
        <v>372</v>
      </c>
      <c r="I132" s="2" t="s">
        <v>23</v>
      </c>
      <c r="J132" s="2" t="s">
        <v>373</v>
      </c>
      <c r="K132" s="2">
        <v>200.67434258339901</v>
      </c>
      <c r="L132" s="2">
        <v>202.67084733338601</v>
      </c>
      <c r="M132" s="2">
        <v>59.917224386866799</v>
      </c>
    </row>
    <row r="133" spans="1:13" x14ac:dyDescent="0.2">
      <c r="A133" s="2" t="s">
        <v>13</v>
      </c>
      <c r="B133" s="2">
        <v>132</v>
      </c>
      <c r="C133" s="2">
        <v>5</v>
      </c>
      <c r="D133" s="2">
        <v>1</v>
      </c>
      <c r="E133" s="2">
        <v>1</v>
      </c>
      <c r="F133" s="2">
        <v>1.4813940000021799</v>
      </c>
      <c r="G133" s="2" t="s">
        <v>374</v>
      </c>
      <c r="H133" s="2" t="s">
        <v>375</v>
      </c>
      <c r="I133" s="2" t="s">
        <v>16</v>
      </c>
      <c r="J133" s="2" t="s">
        <v>376</v>
      </c>
      <c r="K133" s="2">
        <v>202.672801624984</v>
      </c>
      <c r="L133" s="2">
        <v>204.15421079168999</v>
      </c>
      <c r="M133" s="2">
        <v>59.917224386866799</v>
      </c>
    </row>
    <row r="134" spans="1:13" x14ac:dyDescent="0.2">
      <c r="A134" s="2" t="s">
        <v>13</v>
      </c>
      <c r="B134" s="2">
        <v>133</v>
      </c>
      <c r="C134" s="2">
        <v>10</v>
      </c>
      <c r="D134" s="2">
        <v>1</v>
      </c>
      <c r="E134" s="2">
        <v>1</v>
      </c>
      <c r="F134" s="2">
        <v>2.1627897917060199</v>
      </c>
      <c r="G134" s="2" t="s">
        <v>377</v>
      </c>
      <c r="H134" s="2" t="s">
        <v>99</v>
      </c>
      <c r="I134" s="2" t="s">
        <v>16</v>
      </c>
      <c r="J134" s="2" t="s">
        <v>378</v>
      </c>
      <c r="K134" s="2">
        <v>204.15784500003801</v>
      </c>
      <c r="L134" s="2">
        <v>206.32064787508</v>
      </c>
      <c r="M134" s="2">
        <v>59.917224386866799</v>
      </c>
    </row>
    <row r="135" spans="1:13" x14ac:dyDescent="0.2">
      <c r="A135" s="2" t="s">
        <v>13</v>
      </c>
      <c r="B135" s="2">
        <v>134</v>
      </c>
      <c r="C135" s="2">
        <v>5</v>
      </c>
      <c r="D135" s="2">
        <v>1</v>
      </c>
      <c r="E135" s="2">
        <v>1</v>
      </c>
      <c r="F135" s="2">
        <v>2.0316907500382499</v>
      </c>
      <c r="G135" s="2" t="s">
        <v>379</v>
      </c>
      <c r="H135" s="2" t="s">
        <v>380</v>
      </c>
      <c r="I135" s="2" t="s">
        <v>16</v>
      </c>
      <c r="J135" s="2" t="s">
        <v>381</v>
      </c>
      <c r="K135" s="2">
        <v>206.32260650000501</v>
      </c>
      <c r="L135" s="2">
        <v>208.35431204165801</v>
      </c>
      <c r="M135" s="2">
        <v>59.917224386866799</v>
      </c>
    </row>
    <row r="136" spans="1:13" x14ac:dyDescent="0.2">
      <c r="A136" s="2" t="s">
        <v>13</v>
      </c>
      <c r="B136" s="2">
        <v>135</v>
      </c>
      <c r="C136" s="2">
        <v>10</v>
      </c>
      <c r="D136" s="2">
        <v>1</v>
      </c>
      <c r="E136" s="2">
        <v>1</v>
      </c>
      <c r="F136" s="2">
        <v>1.89635554165579</v>
      </c>
      <c r="G136" s="2" t="s">
        <v>382</v>
      </c>
      <c r="H136" s="2" t="s">
        <v>383</v>
      </c>
      <c r="I136" s="2" t="s">
        <v>16</v>
      </c>
      <c r="J136" s="2" t="s">
        <v>384</v>
      </c>
      <c r="K136" s="2">
        <v>208.35784504166801</v>
      </c>
      <c r="L136" s="2">
        <v>210.25421425001699</v>
      </c>
      <c r="M136" s="2">
        <v>59.917224386866799</v>
      </c>
    </row>
    <row r="137" spans="1:13" x14ac:dyDescent="0.2">
      <c r="A137" s="2" t="s">
        <v>13</v>
      </c>
      <c r="B137" s="2">
        <v>136</v>
      </c>
      <c r="C137" s="2">
        <v>5</v>
      </c>
      <c r="D137" s="2">
        <v>1</v>
      </c>
      <c r="E137" s="2">
        <v>1</v>
      </c>
      <c r="F137" s="2">
        <v>1.8812287499895299</v>
      </c>
      <c r="G137" s="2" t="s">
        <v>385</v>
      </c>
      <c r="H137" s="2" t="s">
        <v>222</v>
      </c>
      <c r="I137" s="2" t="s">
        <v>16</v>
      </c>
      <c r="J137" s="2" t="s">
        <v>386</v>
      </c>
      <c r="K137" s="2">
        <v>210.25619808339999</v>
      </c>
      <c r="L137" s="2">
        <v>212.13743929169101</v>
      </c>
      <c r="M137" s="2">
        <v>59.917224386866799</v>
      </c>
    </row>
    <row r="138" spans="1:13" x14ac:dyDescent="0.2">
      <c r="A138" s="2" t="s">
        <v>13</v>
      </c>
      <c r="B138" s="2">
        <v>137</v>
      </c>
      <c r="C138" s="2">
        <v>5</v>
      </c>
      <c r="D138" s="2">
        <v>1</v>
      </c>
      <c r="E138" s="2">
        <v>1</v>
      </c>
      <c r="F138" s="2">
        <v>1.81482279160991</v>
      </c>
      <c r="G138" s="2" t="s">
        <v>387</v>
      </c>
      <c r="H138" s="2" t="s">
        <v>388</v>
      </c>
      <c r="I138" s="2" t="s">
        <v>16</v>
      </c>
      <c r="J138" s="2" t="s">
        <v>389</v>
      </c>
      <c r="K138" s="2">
        <v>212.13928391668</v>
      </c>
      <c r="L138" s="2">
        <v>213.954122083378</v>
      </c>
      <c r="M138" s="2">
        <v>59.917224386866799</v>
      </c>
    </row>
    <row r="139" spans="1:13" x14ac:dyDescent="0.2">
      <c r="A139" s="2" t="s">
        <v>13</v>
      </c>
      <c r="B139" s="2">
        <v>138</v>
      </c>
      <c r="C139" s="2">
        <v>5</v>
      </c>
      <c r="D139" s="2">
        <v>1</v>
      </c>
      <c r="E139" s="2">
        <v>1</v>
      </c>
      <c r="F139" s="2">
        <v>1.43143820832484</v>
      </c>
      <c r="G139" s="2" t="s">
        <v>38</v>
      </c>
      <c r="H139" s="2" t="s">
        <v>390</v>
      </c>
      <c r="I139" s="2" t="s">
        <v>16</v>
      </c>
      <c r="J139" s="2" t="s">
        <v>391</v>
      </c>
      <c r="K139" s="2">
        <v>213.95613987499399</v>
      </c>
      <c r="L139" s="2">
        <v>215.38759245839901</v>
      </c>
      <c r="M139" s="2">
        <v>59.917224386866799</v>
      </c>
    </row>
    <row r="140" spans="1:13" x14ac:dyDescent="0.2">
      <c r="A140" s="2" t="s">
        <v>13</v>
      </c>
      <c r="B140" s="2">
        <v>139</v>
      </c>
      <c r="C140" s="2">
        <v>10</v>
      </c>
      <c r="D140" s="2">
        <v>1</v>
      </c>
      <c r="E140" s="2">
        <v>1</v>
      </c>
      <c r="F140" s="2">
        <v>2.0627449167659502</v>
      </c>
      <c r="G140" s="2" t="s">
        <v>392</v>
      </c>
      <c r="H140" s="2" t="s">
        <v>393</v>
      </c>
      <c r="I140" s="2" t="s">
        <v>16</v>
      </c>
      <c r="J140" s="2" t="s">
        <v>394</v>
      </c>
      <c r="K140" s="2">
        <v>215.391259916709</v>
      </c>
      <c r="L140" s="2">
        <v>217.454018541728</v>
      </c>
      <c r="M140" s="2">
        <v>59.917224386866799</v>
      </c>
    </row>
    <row r="141" spans="1:13" x14ac:dyDescent="0.2">
      <c r="A141" s="2" t="s">
        <v>13</v>
      </c>
      <c r="B141" s="2">
        <v>140</v>
      </c>
      <c r="C141" s="2">
        <v>5</v>
      </c>
      <c r="D141" s="2">
        <v>1</v>
      </c>
      <c r="E141" s="2">
        <v>1</v>
      </c>
      <c r="F141" s="2">
        <v>1.19841437495779</v>
      </c>
      <c r="G141" s="2" t="s">
        <v>395</v>
      </c>
      <c r="H141" s="2" t="s">
        <v>396</v>
      </c>
      <c r="I141" s="2" t="s">
        <v>16</v>
      </c>
      <c r="J141" s="2" t="s">
        <v>397</v>
      </c>
      <c r="K141" s="2">
        <v>217.45592187508001</v>
      </c>
      <c r="L141" s="2">
        <v>218.65435016667499</v>
      </c>
      <c r="M141" s="2">
        <v>59.917224386866799</v>
      </c>
    </row>
    <row r="142" spans="1:13" x14ac:dyDescent="0.2">
      <c r="A142" s="2" t="s">
        <v>13</v>
      </c>
      <c r="B142" s="2">
        <v>141</v>
      </c>
      <c r="C142" s="2">
        <v>10</v>
      </c>
      <c r="D142" s="2">
        <v>1</v>
      </c>
      <c r="E142" s="2">
        <v>1</v>
      </c>
      <c r="F142" s="2">
        <v>1.67954741662834</v>
      </c>
      <c r="G142" s="2" t="s">
        <v>398</v>
      </c>
      <c r="H142" s="2" t="s">
        <v>87</v>
      </c>
      <c r="I142" s="2" t="s">
        <v>16</v>
      </c>
      <c r="J142" s="2" t="s">
        <v>399</v>
      </c>
      <c r="K142" s="2">
        <v>218.657957624993</v>
      </c>
      <c r="L142" s="2">
        <v>220.337518791668</v>
      </c>
      <c r="M142" s="2">
        <v>59.917224386866799</v>
      </c>
    </row>
    <row r="143" spans="1:13" x14ac:dyDescent="0.2">
      <c r="A143" s="2" t="s">
        <v>13</v>
      </c>
      <c r="B143" s="2">
        <v>142</v>
      </c>
      <c r="C143" s="2">
        <v>10</v>
      </c>
      <c r="D143" s="2">
        <v>1</v>
      </c>
      <c r="E143" s="2">
        <v>1</v>
      </c>
      <c r="F143" s="2">
        <v>1.4298081666929701</v>
      </c>
      <c r="G143" s="2" t="s">
        <v>400</v>
      </c>
      <c r="H143" s="2" t="s">
        <v>401</v>
      </c>
      <c r="I143" s="2" t="s">
        <v>16</v>
      </c>
      <c r="J143" s="2" t="s">
        <v>402</v>
      </c>
      <c r="K143" s="2">
        <v>220.34108937508401</v>
      </c>
      <c r="L143" s="2">
        <v>221.77091133338399</v>
      </c>
      <c r="M143" s="2">
        <v>59.917224386866799</v>
      </c>
    </row>
    <row r="144" spans="1:13" x14ac:dyDescent="0.2">
      <c r="A144" s="2" t="s">
        <v>13</v>
      </c>
      <c r="B144" s="2">
        <v>143</v>
      </c>
      <c r="C144" s="2">
        <v>5</v>
      </c>
      <c r="D144" s="2">
        <v>1</v>
      </c>
      <c r="E144" s="2">
        <v>1</v>
      </c>
      <c r="F144" s="2">
        <v>1.14785454166122</v>
      </c>
      <c r="G144" s="2" t="s">
        <v>403</v>
      </c>
      <c r="H144" s="2" t="s">
        <v>404</v>
      </c>
      <c r="I144" s="2" t="s">
        <v>16</v>
      </c>
      <c r="J144" s="2" t="s">
        <v>405</v>
      </c>
      <c r="K144" s="2">
        <v>221.772857541684</v>
      </c>
      <c r="L144" s="2">
        <v>222.920725541655</v>
      </c>
      <c r="M144" s="2">
        <v>59.917224386866799</v>
      </c>
    </row>
    <row r="145" spans="1:13" x14ac:dyDescent="0.2">
      <c r="A145" s="2" t="s">
        <v>13</v>
      </c>
      <c r="B145" s="2">
        <v>144</v>
      </c>
      <c r="C145" s="2">
        <v>10</v>
      </c>
      <c r="D145" s="2">
        <v>1</v>
      </c>
      <c r="E145" s="2">
        <v>1</v>
      </c>
      <c r="F145" s="2">
        <v>1.51326808333397</v>
      </c>
      <c r="G145" s="2" t="s">
        <v>149</v>
      </c>
      <c r="H145" s="2" t="s">
        <v>406</v>
      </c>
      <c r="I145" s="2" t="s">
        <v>16</v>
      </c>
      <c r="J145" s="2" t="s">
        <v>407</v>
      </c>
      <c r="K145" s="2">
        <v>222.924241875066</v>
      </c>
      <c r="L145" s="2">
        <v>224.437526124995</v>
      </c>
      <c r="M145" s="2">
        <v>59.917224386866799</v>
      </c>
    </row>
    <row r="146" spans="1:13" x14ac:dyDescent="0.2">
      <c r="A146" s="2" t="s">
        <v>13</v>
      </c>
      <c r="B146" s="2">
        <v>145</v>
      </c>
      <c r="C146" s="2">
        <v>5</v>
      </c>
      <c r="D146" s="2">
        <v>1</v>
      </c>
      <c r="E146" s="2">
        <v>1</v>
      </c>
      <c r="F146" s="2">
        <v>1.3814332500333</v>
      </c>
      <c r="G146" s="2" t="s">
        <v>408</v>
      </c>
      <c r="H146" s="2" t="s">
        <v>409</v>
      </c>
      <c r="I146" s="2" t="s">
        <v>16</v>
      </c>
      <c r="J146" s="2" t="s">
        <v>410</v>
      </c>
      <c r="K146" s="2">
        <v>224.43953420838801</v>
      </c>
      <c r="L146" s="2">
        <v>225.82098279171601</v>
      </c>
      <c r="M146" s="2">
        <v>59.917224386866799</v>
      </c>
    </row>
    <row r="147" spans="1:13" x14ac:dyDescent="0.2">
      <c r="A147" s="2" t="s">
        <v>13</v>
      </c>
      <c r="B147" s="2">
        <v>146</v>
      </c>
      <c r="C147" s="2">
        <v>10</v>
      </c>
      <c r="D147" s="2">
        <v>1</v>
      </c>
      <c r="E147" s="2">
        <v>1</v>
      </c>
      <c r="F147" s="2">
        <v>1.22952020831872</v>
      </c>
      <c r="G147" s="2" t="s">
        <v>411</v>
      </c>
      <c r="H147" s="2" t="s">
        <v>412</v>
      </c>
      <c r="I147" s="2" t="s">
        <v>16</v>
      </c>
      <c r="J147" s="2" t="s">
        <v>413</v>
      </c>
      <c r="K147" s="2">
        <v>225.82455675001299</v>
      </c>
      <c r="L147" s="2">
        <v>227.05408949998699</v>
      </c>
      <c r="M147" s="2">
        <v>59.917224386866799</v>
      </c>
    </row>
    <row r="148" spans="1:13" x14ac:dyDescent="0.2">
      <c r="A148" s="2" t="s">
        <v>13</v>
      </c>
      <c r="B148" s="2">
        <v>147</v>
      </c>
      <c r="C148" s="2">
        <v>5</v>
      </c>
      <c r="D148" s="2">
        <v>1</v>
      </c>
      <c r="E148" s="2">
        <v>1</v>
      </c>
      <c r="F148" s="2">
        <v>1.2314992082538101</v>
      </c>
      <c r="G148" s="2" t="s">
        <v>414</v>
      </c>
      <c r="H148" s="2" t="s">
        <v>415</v>
      </c>
      <c r="I148" s="2" t="s">
        <v>16</v>
      </c>
      <c r="J148" s="2" t="s">
        <v>416</v>
      </c>
      <c r="K148" s="2">
        <v>227.05596895841899</v>
      </c>
      <c r="L148" s="2">
        <v>228.28748237504601</v>
      </c>
      <c r="M148" s="2">
        <v>59.917224386866799</v>
      </c>
    </row>
    <row r="149" spans="1:13" x14ac:dyDescent="0.2">
      <c r="A149" s="2" t="s">
        <v>13</v>
      </c>
      <c r="B149" s="2">
        <v>148</v>
      </c>
      <c r="C149" s="2">
        <v>10</v>
      </c>
      <c r="D149" s="2">
        <v>1</v>
      </c>
      <c r="E149" s="2">
        <v>1</v>
      </c>
      <c r="F149" s="2">
        <v>1.39655520836823</v>
      </c>
      <c r="G149" s="2" t="s">
        <v>417</v>
      </c>
      <c r="H149" s="2" t="s">
        <v>418</v>
      </c>
      <c r="I149" s="2" t="s">
        <v>16</v>
      </c>
      <c r="J149" s="2" t="s">
        <v>419</v>
      </c>
      <c r="K149" s="2">
        <v>228.29101270833101</v>
      </c>
      <c r="L149" s="2">
        <v>229.68758141668499</v>
      </c>
      <c r="M149" s="2">
        <v>59.917224386866799</v>
      </c>
    </row>
    <row r="150" spans="1:13" x14ac:dyDescent="0.2">
      <c r="A150" s="2" t="s">
        <v>13</v>
      </c>
      <c r="B150" s="2">
        <v>149</v>
      </c>
      <c r="C150" s="2">
        <v>5</v>
      </c>
      <c r="D150" s="2">
        <v>1</v>
      </c>
      <c r="E150" s="2">
        <v>1</v>
      </c>
      <c r="F150" s="2">
        <v>1.3644367083907101</v>
      </c>
      <c r="G150" s="2" t="s">
        <v>420</v>
      </c>
      <c r="H150" s="2" t="s">
        <v>421</v>
      </c>
      <c r="I150" s="2" t="s">
        <v>16</v>
      </c>
      <c r="J150" s="2" t="s">
        <v>422</v>
      </c>
      <c r="K150" s="2">
        <v>229.68952675000801</v>
      </c>
      <c r="L150" s="2">
        <v>231.05397608340701</v>
      </c>
      <c r="M150" s="2">
        <v>59.917224386866799</v>
      </c>
    </row>
    <row r="151" spans="1:13" x14ac:dyDescent="0.2">
      <c r="A151" s="2" t="s">
        <v>13</v>
      </c>
      <c r="B151" s="2">
        <v>150</v>
      </c>
      <c r="C151" s="2">
        <v>10</v>
      </c>
      <c r="D151" s="2">
        <v>1</v>
      </c>
      <c r="E151" s="2">
        <v>1</v>
      </c>
      <c r="F151" s="2">
        <v>1.66301791672595</v>
      </c>
      <c r="G151" s="2" t="s">
        <v>423</v>
      </c>
      <c r="H151" s="2" t="s">
        <v>424</v>
      </c>
      <c r="I151" s="2" t="s">
        <v>16</v>
      </c>
      <c r="J151" s="2" t="s">
        <v>425</v>
      </c>
      <c r="K151" s="2">
        <v>231.05746041668999</v>
      </c>
      <c r="L151" s="2">
        <v>232.72049162501901</v>
      </c>
      <c r="M151" s="2">
        <v>59.917224386866799</v>
      </c>
    </row>
    <row r="152" spans="1:13" x14ac:dyDescent="0.2">
      <c r="A152" s="2" t="s">
        <v>13</v>
      </c>
      <c r="B152" s="2">
        <v>151</v>
      </c>
      <c r="C152" s="2">
        <v>5</v>
      </c>
      <c r="D152" s="2">
        <v>1</v>
      </c>
      <c r="E152" s="2">
        <v>1</v>
      </c>
      <c r="F152" s="2">
        <v>1.48174758336972</v>
      </c>
      <c r="G152" s="2" t="s">
        <v>426</v>
      </c>
      <c r="H152" s="2" t="s">
        <v>427</v>
      </c>
      <c r="I152" s="2" t="s">
        <v>16</v>
      </c>
      <c r="J152" s="2" t="s">
        <v>428</v>
      </c>
      <c r="K152" s="2">
        <v>232.72241208341401</v>
      </c>
      <c r="L152" s="2">
        <v>234.20417587505699</v>
      </c>
      <c r="M152" s="2">
        <v>59.917224386866799</v>
      </c>
    </row>
    <row r="153" spans="1:13" x14ac:dyDescent="0.2">
      <c r="A153" s="2" t="s">
        <v>13</v>
      </c>
      <c r="B153" s="2">
        <v>152</v>
      </c>
      <c r="C153" s="2">
        <v>10</v>
      </c>
      <c r="D153" s="2">
        <v>1</v>
      </c>
      <c r="E153" s="2">
        <v>1</v>
      </c>
      <c r="F153" s="2">
        <v>2.0129113332368398</v>
      </c>
      <c r="G153" s="2" t="s">
        <v>429</v>
      </c>
      <c r="H153" s="2" t="s">
        <v>358</v>
      </c>
      <c r="I153" s="2" t="s">
        <v>16</v>
      </c>
      <c r="J153" s="2" t="s">
        <v>430</v>
      </c>
      <c r="K153" s="2">
        <v>234.20780791668199</v>
      </c>
      <c r="L153" s="2">
        <v>236.220732583315</v>
      </c>
      <c r="M153" s="2">
        <v>59.917224386866799</v>
      </c>
    </row>
    <row r="154" spans="1:13" x14ac:dyDescent="0.2">
      <c r="A154" s="2" t="s">
        <v>13</v>
      </c>
      <c r="B154" s="2">
        <v>153</v>
      </c>
      <c r="C154" s="2">
        <v>10</v>
      </c>
      <c r="D154" s="2">
        <v>1</v>
      </c>
      <c r="E154" s="2">
        <v>1</v>
      </c>
      <c r="F154" s="2">
        <v>1.5964552500517999</v>
      </c>
      <c r="G154" s="2" t="s">
        <v>431</v>
      </c>
      <c r="H154" s="2" t="s">
        <v>432</v>
      </c>
      <c r="I154" s="2" t="s">
        <v>16</v>
      </c>
      <c r="J154" s="2" t="s">
        <v>433</v>
      </c>
      <c r="K154" s="2">
        <v>236.22433412505799</v>
      </c>
      <c r="L154" s="2">
        <v>237.82080254168301</v>
      </c>
      <c r="M154" s="2">
        <v>59.917224386866799</v>
      </c>
    </row>
    <row r="155" spans="1:13" x14ac:dyDescent="0.2">
      <c r="A155" s="2" t="s">
        <v>13</v>
      </c>
      <c r="B155" s="2">
        <v>154</v>
      </c>
      <c r="C155" s="2">
        <v>5</v>
      </c>
      <c r="D155" s="2">
        <v>1</v>
      </c>
      <c r="E155" s="2">
        <v>1</v>
      </c>
      <c r="F155" s="2">
        <v>1.98114849999547</v>
      </c>
      <c r="G155" s="2" t="s">
        <v>434</v>
      </c>
      <c r="H155" s="2" t="s">
        <v>96</v>
      </c>
      <c r="I155" s="2" t="s">
        <v>16</v>
      </c>
      <c r="J155" s="2" t="s">
        <v>435</v>
      </c>
      <c r="K155" s="2">
        <v>237.82270775001999</v>
      </c>
      <c r="L155" s="2">
        <v>239.80387041671199</v>
      </c>
      <c r="M155" s="2">
        <v>59.917224386866799</v>
      </c>
    </row>
    <row r="156" spans="1:13" x14ac:dyDescent="0.2">
      <c r="A156" s="2" t="s">
        <v>13</v>
      </c>
      <c r="B156" s="2">
        <v>155</v>
      </c>
      <c r="C156" s="2">
        <v>10</v>
      </c>
      <c r="D156" s="2">
        <v>1</v>
      </c>
      <c r="E156" s="2">
        <v>1</v>
      </c>
      <c r="F156" s="2">
        <v>1.3299686666578101</v>
      </c>
      <c r="G156" s="2" t="s">
        <v>436</v>
      </c>
      <c r="H156" s="2" t="s">
        <v>166</v>
      </c>
      <c r="I156" s="2" t="s">
        <v>16</v>
      </c>
      <c r="J156" s="2" t="s">
        <v>437</v>
      </c>
      <c r="K156" s="2">
        <v>239.80744708341101</v>
      </c>
      <c r="L156" s="2">
        <v>241.137429458322</v>
      </c>
      <c r="M156" s="2">
        <v>59.917224386866799</v>
      </c>
    </row>
    <row r="157" spans="1:13" x14ac:dyDescent="0.2">
      <c r="A157" s="2" t="s">
        <v>13</v>
      </c>
      <c r="B157" s="2">
        <v>156</v>
      </c>
      <c r="C157" s="2">
        <v>5</v>
      </c>
      <c r="D157" s="2">
        <v>1</v>
      </c>
      <c r="E157" s="2">
        <v>1</v>
      </c>
      <c r="F157" s="2">
        <v>1.36479370831512</v>
      </c>
      <c r="G157" s="2" t="s">
        <v>186</v>
      </c>
      <c r="H157" s="2" t="s">
        <v>88</v>
      </c>
      <c r="I157" s="2" t="s">
        <v>16</v>
      </c>
      <c r="J157" s="2" t="s">
        <v>438</v>
      </c>
      <c r="K157" s="2">
        <v>241.13938041671599</v>
      </c>
      <c r="L157" s="2">
        <v>242.50418854167199</v>
      </c>
      <c r="M157" s="2">
        <v>59.917224386866799</v>
      </c>
    </row>
    <row r="158" spans="1:13" x14ac:dyDescent="0.2">
      <c r="A158" s="2" t="s">
        <v>13</v>
      </c>
      <c r="B158" s="2">
        <v>157</v>
      </c>
      <c r="C158" s="2">
        <v>5</v>
      </c>
      <c r="D158" s="2">
        <v>1</v>
      </c>
      <c r="E158" s="2">
        <v>1</v>
      </c>
      <c r="F158" s="2">
        <v>1.6978765000822</v>
      </c>
      <c r="G158" s="2" t="s">
        <v>439</v>
      </c>
      <c r="H158" s="2" t="s">
        <v>440</v>
      </c>
      <c r="I158" s="2" t="s">
        <v>16</v>
      </c>
      <c r="J158" s="2" t="s">
        <v>441</v>
      </c>
      <c r="K158" s="2">
        <v>242.50611216668</v>
      </c>
      <c r="L158" s="2">
        <v>244.20400387502701</v>
      </c>
      <c r="M158" s="2">
        <v>59.917224386866799</v>
      </c>
    </row>
    <row r="159" spans="1:13" x14ac:dyDescent="0.2">
      <c r="A159" s="2" t="s">
        <v>13</v>
      </c>
      <c r="B159" s="2">
        <v>158</v>
      </c>
      <c r="C159" s="2">
        <v>5</v>
      </c>
      <c r="D159" s="2">
        <v>1</v>
      </c>
      <c r="E159" s="2">
        <v>1</v>
      </c>
      <c r="F159" s="2">
        <v>1.5979880000231801</v>
      </c>
      <c r="G159" s="2" t="s">
        <v>442</v>
      </c>
      <c r="H159" s="2" t="s">
        <v>443</v>
      </c>
      <c r="I159" s="2" t="s">
        <v>16</v>
      </c>
      <c r="J159" s="2" t="s">
        <v>444</v>
      </c>
      <c r="K159" s="2">
        <v>244.20601299998799</v>
      </c>
      <c r="L159" s="2">
        <v>245.80401387507999</v>
      </c>
      <c r="M159" s="2">
        <v>59.917224386866799</v>
      </c>
    </row>
    <row r="160" spans="1:13" x14ac:dyDescent="0.2">
      <c r="A160" s="2" t="s">
        <v>13</v>
      </c>
      <c r="B160" s="2">
        <v>159</v>
      </c>
      <c r="C160" s="2">
        <v>10</v>
      </c>
      <c r="D160" s="2">
        <v>1</v>
      </c>
      <c r="E160" s="2">
        <v>1</v>
      </c>
      <c r="F160" s="2">
        <v>1.14623383339495</v>
      </c>
      <c r="G160" s="2" t="s">
        <v>318</v>
      </c>
      <c r="H160" s="2" t="s">
        <v>93</v>
      </c>
      <c r="I160" s="2" t="s">
        <v>16</v>
      </c>
      <c r="J160" s="2" t="s">
        <v>445</v>
      </c>
      <c r="K160" s="2">
        <v>245.80781008338101</v>
      </c>
      <c r="L160" s="2">
        <v>246.954056958319</v>
      </c>
      <c r="M160" s="2">
        <v>59.917224386866799</v>
      </c>
    </row>
    <row r="161" spans="1:13" x14ac:dyDescent="0.2">
      <c r="A161" s="2" t="s">
        <v>13</v>
      </c>
      <c r="B161" s="2">
        <v>160</v>
      </c>
      <c r="C161" s="2">
        <v>10</v>
      </c>
      <c r="D161" s="2">
        <v>1</v>
      </c>
      <c r="E161" s="2">
        <v>1</v>
      </c>
      <c r="F161" s="2">
        <v>1.2301293333293899</v>
      </c>
      <c r="G161" s="2" t="s">
        <v>76</v>
      </c>
      <c r="H161" s="2" t="s">
        <v>446</v>
      </c>
      <c r="I161" s="2" t="s">
        <v>16</v>
      </c>
      <c r="J161" s="2" t="s">
        <v>447</v>
      </c>
      <c r="K161" s="2">
        <v>246.957607874996</v>
      </c>
      <c r="L161" s="2">
        <v>248.187766541727</v>
      </c>
      <c r="M161" s="2">
        <v>59.917224386866799</v>
      </c>
    </row>
    <row r="162" spans="1:13" x14ac:dyDescent="0.2">
      <c r="A162" s="2" t="s">
        <v>13</v>
      </c>
      <c r="B162" s="2">
        <v>161</v>
      </c>
      <c r="C162" s="2">
        <v>5</v>
      </c>
      <c r="D162" s="2">
        <v>1</v>
      </c>
      <c r="E162" s="2">
        <v>1</v>
      </c>
      <c r="F162" s="2">
        <v>1.54780937510077</v>
      </c>
      <c r="G162" s="2" t="s">
        <v>448</v>
      </c>
      <c r="H162" s="2" t="s">
        <v>449</v>
      </c>
      <c r="I162" s="2" t="s">
        <v>16</v>
      </c>
      <c r="J162" s="2" t="s">
        <v>450</v>
      </c>
      <c r="K162" s="2">
        <v>248.18976824998401</v>
      </c>
      <c r="L162" s="2">
        <v>249.737591458368</v>
      </c>
      <c r="M162" s="2">
        <v>59.917224386866799</v>
      </c>
    </row>
    <row r="163" spans="1:13" x14ac:dyDescent="0.2">
      <c r="A163" s="2" t="s">
        <v>13</v>
      </c>
      <c r="B163" s="2">
        <v>162</v>
      </c>
      <c r="C163" s="2">
        <v>5</v>
      </c>
      <c r="D163" s="2">
        <v>1</v>
      </c>
      <c r="E163" s="2">
        <v>1</v>
      </c>
      <c r="F163" s="2">
        <v>1.78120145841967</v>
      </c>
      <c r="G163" s="2" t="s">
        <v>451</v>
      </c>
      <c r="H163" s="2" t="s">
        <v>452</v>
      </c>
      <c r="I163" s="2" t="s">
        <v>16</v>
      </c>
      <c r="J163" s="2" t="s">
        <v>453</v>
      </c>
      <c r="K163" s="2">
        <v>249.73956954164899</v>
      </c>
      <c r="L163" s="2">
        <v>251.520790625014</v>
      </c>
      <c r="M163" s="2">
        <v>59.917224386866799</v>
      </c>
    </row>
    <row r="164" spans="1:13" x14ac:dyDescent="0.2">
      <c r="A164" s="2" t="s">
        <v>13</v>
      </c>
      <c r="B164" s="2">
        <v>163</v>
      </c>
      <c r="C164" s="2">
        <v>10</v>
      </c>
      <c r="D164" s="2">
        <v>1</v>
      </c>
      <c r="E164" s="2">
        <v>1</v>
      </c>
      <c r="F164" s="2">
        <v>1.89667504176032</v>
      </c>
      <c r="G164" s="2" t="s">
        <v>119</v>
      </c>
      <c r="H164" s="2" t="s">
        <v>454</v>
      </c>
      <c r="I164" s="2" t="s">
        <v>16</v>
      </c>
      <c r="J164" s="2" t="s">
        <v>455</v>
      </c>
      <c r="K164" s="2">
        <v>251.52444533340201</v>
      </c>
      <c r="L164" s="2">
        <v>253.421142791747</v>
      </c>
      <c r="M164" s="2">
        <v>59.917224386866799</v>
      </c>
    </row>
    <row r="165" spans="1:13" x14ac:dyDescent="0.2">
      <c r="A165" s="2" t="s">
        <v>13</v>
      </c>
      <c r="B165" s="2">
        <v>164</v>
      </c>
      <c r="C165" s="2">
        <v>5</v>
      </c>
      <c r="D165" s="2">
        <v>1</v>
      </c>
      <c r="E165" s="2">
        <v>1</v>
      </c>
      <c r="F165" s="2">
        <v>1.19759254169185</v>
      </c>
      <c r="G165" s="2" t="s">
        <v>456</v>
      </c>
      <c r="H165" s="2" t="s">
        <v>457</v>
      </c>
      <c r="I165" s="2" t="s">
        <v>16</v>
      </c>
      <c r="J165" s="2" t="s">
        <v>458</v>
      </c>
      <c r="K165" s="2">
        <v>253.423133000033</v>
      </c>
      <c r="L165" s="2">
        <v>254.62074200005699</v>
      </c>
      <c r="M165" s="2">
        <v>59.917224386866799</v>
      </c>
    </row>
    <row r="166" spans="1:13" x14ac:dyDescent="0.2">
      <c r="A166" s="2" t="s">
        <v>13</v>
      </c>
      <c r="B166" s="2">
        <v>165</v>
      </c>
      <c r="C166" s="2">
        <v>5</v>
      </c>
      <c r="D166" s="2">
        <v>1</v>
      </c>
      <c r="E166" s="2">
        <v>1</v>
      </c>
      <c r="F166" s="2">
        <v>0.89865616662427805</v>
      </c>
      <c r="G166" s="2" t="s">
        <v>459</v>
      </c>
      <c r="H166" s="2" t="s">
        <v>460</v>
      </c>
      <c r="I166" s="2" t="s">
        <v>16</v>
      </c>
      <c r="J166" s="2" t="s">
        <v>461</v>
      </c>
      <c r="K166" s="2">
        <v>254.62274654174701</v>
      </c>
      <c r="L166" s="2">
        <v>255.521415583324</v>
      </c>
      <c r="M166" s="2">
        <v>59.917224386866799</v>
      </c>
    </row>
    <row r="167" spans="1:13" x14ac:dyDescent="0.2">
      <c r="A167" s="2" t="s">
        <v>13</v>
      </c>
      <c r="B167" s="2">
        <v>166</v>
      </c>
      <c r="C167" s="2">
        <v>5</v>
      </c>
      <c r="D167" s="2">
        <v>2</v>
      </c>
      <c r="E167" s="2">
        <v>0</v>
      </c>
      <c r="F167" s="2">
        <v>2.0470797083107799</v>
      </c>
      <c r="G167" s="2" t="s">
        <v>462</v>
      </c>
      <c r="H167" s="2" t="s">
        <v>463</v>
      </c>
      <c r="I167" s="2" t="s">
        <v>23</v>
      </c>
      <c r="J167" s="2" t="s">
        <v>464</v>
      </c>
      <c r="K167" s="2">
        <v>255.52333754173</v>
      </c>
      <c r="L167" s="2">
        <v>257.57042929169302</v>
      </c>
      <c r="M167" s="2">
        <v>59.917224386866799</v>
      </c>
    </row>
    <row r="168" spans="1:13" x14ac:dyDescent="0.2">
      <c r="A168" s="2" t="s">
        <v>13</v>
      </c>
      <c r="B168" s="2">
        <v>167</v>
      </c>
      <c r="C168" s="2">
        <v>10</v>
      </c>
      <c r="D168" s="2">
        <v>1</v>
      </c>
      <c r="E168" s="2">
        <v>1</v>
      </c>
      <c r="F168" s="2">
        <v>1.4302510833367701</v>
      </c>
      <c r="G168" s="2" t="s">
        <v>465</v>
      </c>
      <c r="H168" s="2" t="s">
        <v>466</v>
      </c>
      <c r="I168" s="2" t="s">
        <v>16</v>
      </c>
      <c r="J168" s="2" t="s">
        <v>467</v>
      </c>
      <c r="K168" s="2">
        <v>257.57400804176001</v>
      </c>
      <c r="L168" s="2">
        <v>259.00428887503199</v>
      </c>
      <c r="M168" s="2">
        <v>59.917224386866799</v>
      </c>
    </row>
    <row r="169" spans="1:13" x14ac:dyDescent="0.2">
      <c r="A169" s="2" t="s">
        <v>13</v>
      </c>
      <c r="B169" s="2">
        <v>168</v>
      </c>
      <c r="C169" s="2">
        <v>10</v>
      </c>
      <c r="D169" s="2">
        <v>1</v>
      </c>
      <c r="E169" s="2">
        <v>1</v>
      </c>
      <c r="F169" s="2">
        <v>1.4458616665797299</v>
      </c>
      <c r="G169" s="2" t="s">
        <v>50</v>
      </c>
      <c r="H169" s="2" t="s">
        <v>468</v>
      </c>
      <c r="I169" s="2" t="s">
        <v>16</v>
      </c>
      <c r="J169" s="2" t="s">
        <v>469</v>
      </c>
      <c r="K169" s="2">
        <v>259.00817675003799</v>
      </c>
      <c r="L169" s="2">
        <v>260.45405337505503</v>
      </c>
      <c r="M169" s="2">
        <v>59.917224386866799</v>
      </c>
    </row>
    <row r="170" spans="1:13" x14ac:dyDescent="0.2">
      <c r="A170" s="2" t="s">
        <v>13</v>
      </c>
      <c r="B170" s="2">
        <v>169</v>
      </c>
      <c r="C170" s="2">
        <v>10</v>
      </c>
      <c r="D170" s="2">
        <v>1</v>
      </c>
      <c r="E170" s="2">
        <v>1</v>
      </c>
      <c r="F170" s="2">
        <v>1.46311175008304</v>
      </c>
      <c r="G170" s="2" t="s">
        <v>470</v>
      </c>
      <c r="H170" s="2" t="s">
        <v>312</v>
      </c>
      <c r="I170" s="2" t="s">
        <v>16</v>
      </c>
      <c r="J170" s="2" t="s">
        <v>471</v>
      </c>
      <c r="K170" s="2">
        <v>260.457593541709</v>
      </c>
      <c r="L170" s="2">
        <v>261.92071900004498</v>
      </c>
      <c r="M170" s="2">
        <v>59.917224386866799</v>
      </c>
    </row>
    <row r="171" spans="1:13" x14ac:dyDescent="0.2">
      <c r="A171" s="2" t="s">
        <v>13</v>
      </c>
      <c r="B171" s="2">
        <v>170</v>
      </c>
      <c r="C171" s="2">
        <v>5</v>
      </c>
      <c r="D171" s="2">
        <v>1</v>
      </c>
      <c r="E171" s="2">
        <v>1</v>
      </c>
      <c r="F171" s="2">
        <v>1.3647718334104899</v>
      </c>
      <c r="G171" s="2" t="s">
        <v>64</v>
      </c>
      <c r="H171" s="2" t="s">
        <v>472</v>
      </c>
      <c r="I171" s="2" t="s">
        <v>16</v>
      </c>
      <c r="J171" s="2" t="s">
        <v>473</v>
      </c>
      <c r="K171" s="2">
        <v>261.92258670833002</v>
      </c>
      <c r="L171" s="2">
        <v>263.287372625084</v>
      </c>
      <c r="M171" s="2">
        <v>59.917224386866799</v>
      </c>
    </row>
    <row r="172" spans="1:13" x14ac:dyDescent="0.2">
      <c r="A172" s="2" t="s">
        <v>13</v>
      </c>
      <c r="B172" s="2">
        <v>171</v>
      </c>
      <c r="C172" s="2">
        <v>10</v>
      </c>
      <c r="D172" s="2">
        <v>1</v>
      </c>
      <c r="E172" s="2">
        <v>1</v>
      </c>
      <c r="F172" s="2">
        <v>1.3962849166709901</v>
      </c>
      <c r="G172" s="2" t="s">
        <v>474</v>
      </c>
      <c r="H172" s="2" t="s">
        <v>475</v>
      </c>
      <c r="I172" s="2" t="s">
        <v>16</v>
      </c>
      <c r="J172" s="2" t="s">
        <v>476</v>
      </c>
      <c r="K172" s="2">
        <v>263.29091537499301</v>
      </c>
      <c r="L172" s="2">
        <v>264.68722145841502</v>
      </c>
      <c r="M172" s="2">
        <v>59.917224386866799</v>
      </c>
    </row>
    <row r="173" spans="1:13" x14ac:dyDescent="0.2">
      <c r="A173" s="2" t="s">
        <v>13</v>
      </c>
      <c r="B173" s="2">
        <v>172</v>
      </c>
      <c r="C173" s="2">
        <v>10</v>
      </c>
      <c r="D173" s="2">
        <v>1</v>
      </c>
      <c r="E173" s="2">
        <v>1</v>
      </c>
      <c r="F173" s="2">
        <v>2.4965070832986398</v>
      </c>
      <c r="G173" s="2" t="s">
        <v>300</v>
      </c>
      <c r="H173" s="2" t="s">
        <v>59</v>
      </c>
      <c r="I173" s="2" t="s">
        <v>16</v>
      </c>
      <c r="J173" s="2" t="s">
        <v>477</v>
      </c>
      <c r="K173" s="2">
        <v>264.690872250008</v>
      </c>
      <c r="L173" s="2">
        <v>267.187394125038</v>
      </c>
      <c r="M173" s="2">
        <v>59.917224386866799</v>
      </c>
    </row>
    <row r="174" spans="1:13" x14ac:dyDescent="0.2">
      <c r="A174" s="2" t="s">
        <v>13</v>
      </c>
      <c r="B174" s="2">
        <v>173</v>
      </c>
      <c r="C174" s="2">
        <v>10</v>
      </c>
      <c r="D174" s="2">
        <v>1</v>
      </c>
      <c r="E174" s="2">
        <v>1</v>
      </c>
      <c r="F174" s="2">
        <v>2.1963953332742698</v>
      </c>
      <c r="G174" s="2" t="s">
        <v>478</v>
      </c>
      <c r="H174" s="2" t="s">
        <v>479</v>
      </c>
      <c r="I174" s="2" t="s">
        <v>16</v>
      </c>
      <c r="J174" s="2" t="s">
        <v>480</v>
      </c>
      <c r="K174" s="2">
        <v>267.19102383335098</v>
      </c>
      <c r="L174" s="2">
        <v>269.38743408338598</v>
      </c>
      <c r="M174" s="2">
        <v>59.917224386866799</v>
      </c>
    </row>
    <row r="175" spans="1:13" x14ac:dyDescent="0.2">
      <c r="A175" s="2" t="s">
        <v>13</v>
      </c>
      <c r="B175" s="2">
        <v>174</v>
      </c>
      <c r="C175" s="2">
        <v>5</v>
      </c>
      <c r="D175" s="2">
        <v>1</v>
      </c>
      <c r="E175" s="2">
        <v>1</v>
      </c>
      <c r="F175" s="2">
        <v>1.1811625832924599</v>
      </c>
      <c r="G175" s="2" t="s">
        <v>481</v>
      </c>
      <c r="H175" s="2" t="s">
        <v>385</v>
      </c>
      <c r="I175" s="2" t="s">
        <v>16</v>
      </c>
      <c r="J175" s="2" t="s">
        <v>482</v>
      </c>
      <c r="K175" s="2">
        <v>269.38947191671502</v>
      </c>
      <c r="L175" s="2">
        <v>270.57064916670799</v>
      </c>
      <c r="M175" s="2">
        <v>59.917224386866799</v>
      </c>
    </row>
    <row r="176" spans="1:13" x14ac:dyDescent="0.2">
      <c r="A176" s="2" t="s">
        <v>13</v>
      </c>
      <c r="B176" s="2">
        <v>175</v>
      </c>
      <c r="C176" s="2">
        <v>10</v>
      </c>
      <c r="D176" s="2">
        <v>1</v>
      </c>
      <c r="E176" s="2">
        <v>1</v>
      </c>
      <c r="F176" s="2">
        <v>1.61274229164701</v>
      </c>
      <c r="G176" s="2" t="s">
        <v>483</v>
      </c>
      <c r="H176" s="2" t="s">
        <v>484</v>
      </c>
      <c r="I176" s="2" t="s">
        <v>16</v>
      </c>
      <c r="J176" s="2" t="s">
        <v>485</v>
      </c>
      <c r="K176" s="2">
        <v>270.57449124997999</v>
      </c>
      <c r="L176" s="2">
        <v>272.18724650004901</v>
      </c>
      <c r="M176" s="2">
        <v>59.917224386866799</v>
      </c>
    </row>
    <row r="177" spans="1:13" x14ac:dyDescent="0.2">
      <c r="A177" s="2" t="s">
        <v>13</v>
      </c>
      <c r="B177" s="2">
        <v>176</v>
      </c>
      <c r="C177" s="2">
        <v>10</v>
      </c>
      <c r="D177" s="2">
        <v>1</v>
      </c>
      <c r="E177" s="2">
        <v>1</v>
      </c>
      <c r="F177" s="2">
        <v>2.1466492083855</v>
      </c>
      <c r="G177" s="2" t="s">
        <v>486</v>
      </c>
      <c r="H177" s="2" t="s">
        <v>109</v>
      </c>
      <c r="I177" s="2" t="s">
        <v>16</v>
      </c>
      <c r="J177" s="2" t="s">
        <v>487</v>
      </c>
      <c r="K177" s="2">
        <v>272.19079345837201</v>
      </c>
      <c r="L177" s="2">
        <v>274.33745850005698</v>
      </c>
      <c r="M177" s="2">
        <v>59.917224386866799</v>
      </c>
    </row>
    <row r="178" spans="1:13" x14ac:dyDescent="0.2">
      <c r="A178" s="2" t="s">
        <v>13</v>
      </c>
      <c r="B178" s="2">
        <v>177</v>
      </c>
      <c r="C178" s="2">
        <v>10</v>
      </c>
      <c r="D178" s="2">
        <v>1</v>
      </c>
      <c r="E178" s="2">
        <v>1</v>
      </c>
      <c r="F178" s="2">
        <v>2.4129821249516699</v>
      </c>
      <c r="G178" s="2" t="s">
        <v>488</v>
      </c>
      <c r="H178" s="2" t="s">
        <v>330</v>
      </c>
      <c r="I178" s="2" t="s">
        <v>16</v>
      </c>
      <c r="J178" s="2" t="s">
        <v>489</v>
      </c>
      <c r="K178" s="2">
        <v>274.34109779167898</v>
      </c>
      <c r="L178" s="2">
        <v>276.75409337505698</v>
      </c>
      <c r="M178" s="2">
        <v>59.917224386866799</v>
      </c>
    </row>
    <row r="179" spans="1:13" x14ac:dyDescent="0.2">
      <c r="A179" s="2" t="s">
        <v>13</v>
      </c>
      <c r="B179" s="2">
        <v>178</v>
      </c>
      <c r="C179" s="2">
        <v>5</v>
      </c>
      <c r="D179" s="2">
        <v>1</v>
      </c>
      <c r="E179" s="2">
        <v>1</v>
      </c>
      <c r="F179" s="2">
        <v>1.5812751250341499</v>
      </c>
      <c r="G179" s="2" t="s">
        <v>490</v>
      </c>
      <c r="H179" s="2" t="s">
        <v>491</v>
      </c>
      <c r="I179" s="2" t="s">
        <v>16</v>
      </c>
      <c r="J179" s="2" t="s">
        <v>492</v>
      </c>
      <c r="K179" s="2">
        <v>276.756068166695</v>
      </c>
      <c r="L179" s="2">
        <v>278.33735862502402</v>
      </c>
      <c r="M179" s="2">
        <v>59.917224386866799</v>
      </c>
    </row>
    <row r="180" spans="1:13" x14ac:dyDescent="0.2">
      <c r="A180" s="2" t="s">
        <v>13</v>
      </c>
      <c r="B180" s="2">
        <v>179</v>
      </c>
      <c r="C180" s="2">
        <v>5</v>
      </c>
      <c r="D180" s="2">
        <v>1</v>
      </c>
      <c r="E180" s="2">
        <v>1</v>
      </c>
      <c r="F180" s="2">
        <v>1.4813856666442</v>
      </c>
      <c r="G180" s="2" t="s">
        <v>493</v>
      </c>
      <c r="H180" s="2" t="s">
        <v>494</v>
      </c>
      <c r="I180" s="2" t="s">
        <v>16</v>
      </c>
      <c r="J180" s="2" t="s">
        <v>495</v>
      </c>
      <c r="K180" s="2">
        <v>278.33926812501198</v>
      </c>
      <c r="L180" s="2">
        <v>279.82066854171001</v>
      </c>
      <c r="M180" s="2">
        <v>59.917224386866799</v>
      </c>
    </row>
    <row r="181" spans="1:13" x14ac:dyDescent="0.2">
      <c r="A181" s="2" t="s">
        <v>13</v>
      </c>
      <c r="B181" s="2">
        <v>180</v>
      </c>
      <c r="C181" s="2">
        <v>5</v>
      </c>
      <c r="D181" s="2">
        <v>1</v>
      </c>
      <c r="E181" s="2">
        <v>1</v>
      </c>
      <c r="F181" s="2">
        <v>1.3642467500176301</v>
      </c>
      <c r="G181" s="2" t="s">
        <v>496</v>
      </c>
      <c r="H181" s="2" t="s">
        <v>497</v>
      </c>
      <c r="I181" s="2" t="s">
        <v>16</v>
      </c>
      <c r="J181" s="2" t="s">
        <v>498</v>
      </c>
      <c r="K181" s="2">
        <v>279.82285662507599</v>
      </c>
      <c r="L181" s="2">
        <v>281.18711620837001</v>
      </c>
      <c r="M181" s="2">
        <v>59.917224386866799</v>
      </c>
    </row>
    <row r="182" spans="1:13" x14ac:dyDescent="0.2">
      <c r="A182" s="2" t="s">
        <v>13</v>
      </c>
      <c r="B182" s="2">
        <v>181</v>
      </c>
      <c r="C182" s="2">
        <v>5</v>
      </c>
      <c r="D182" s="2">
        <v>1</v>
      </c>
      <c r="E182" s="2">
        <v>1</v>
      </c>
      <c r="F182" s="2">
        <v>1.3481148750288401</v>
      </c>
      <c r="G182" s="2" t="s">
        <v>499</v>
      </c>
      <c r="H182" s="2" t="s">
        <v>500</v>
      </c>
      <c r="I182" s="2" t="s">
        <v>16</v>
      </c>
      <c r="J182" s="2" t="s">
        <v>501</v>
      </c>
      <c r="K182" s="2">
        <v>281.18902475002699</v>
      </c>
      <c r="L182" s="2">
        <v>282.537152458332</v>
      </c>
      <c r="M182" s="2">
        <v>59.917224386866799</v>
      </c>
    </row>
    <row r="183" spans="1:13" x14ac:dyDescent="0.2">
      <c r="A183" s="2" t="s">
        <v>13</v>
      </c>
      <c r="B183" s="2">
        <v>182</v>
      </c>
      <c r="C183" s="2">
        <v>5</v>
      </c>
      <c r="D183" s="2">
        <v>1</v>
      </c>
      <c r="E183" s="2">
        <v>1</v>
      </c>
      <c r="F183" s="2">
        <v>1.21493570832536</v>
      </c>
      <c r="G183" s="2" t="s">
        <v>502</v>
      </c>
      <c r="H183" s="2" t="s">
        <v>503</v>
      </c>
      <c r="I183" s="2" t="s">
        <v>16</v>
      </c>
      <c r="J183" s="2" t="s">
        <v>504</v>
      </c>
      <c r="K183" s="2">
        <v>282.539127500029</v>
      </c>
      <c r="L183" s="2">
        <v>283.75407545838999</v>
      </c>
      <c r="M183" s="2">
        <v>59.917224386866799</v>
      </c>
    </row>
    <row r="184" spans="1:13" x14ac:dyDescent="0.2">
      <c r="A184" s="2" t="s">
        <v>13</v>
      </c>
      <c r="B184" s="2">
        <v>183</v>
      </c>
      <c r="C184" s="2">
        <v>10</v>
      </c>
      <c r="D184" s="2">
        <v>1</v>
      </c>
      <c r="E184" s="2">
        <v>1</v>
      </c>
      <c r="F184" s="2">
        <v>1.0798257500864601</v>
      </c>
      <c r="G184" s="2" t="s">
        <v>505</v>
      </c>
      <c r="H184" s="2" t="s">
        <v>506</v>
      </c>
      <c r="I184" s="2" t="s">
        <v>16</v>
      </c>
      <c r="J184" s="2" t="s">
        <v>507</v>
      </c>
      <c r="K184" s="2">
        <v>283.75751533336</v>
      </c>
      <c r="L184" s="2">
        <v>284.83735604165099</v>
      </c>
      <c r="M184" s="2">
        <v>59.917224386866799</v>
      </c>
    </row>
    <row r="185" spans="1:13" x14ac:dyDescent="0.2">
      <c r="A185" s="2" t="s">
        <v>13</v>
      </c>
      <c r="B185" s="2">
        <v>184</v>
      </c>
      <c r="C185" s="2">
        <v>5</v>
      </c>
      <c r="D185" s="2">
        <v>1</v>
      </c>
      <c r="E185" s="2">
        <v>1</v>
      </c>
      <c r="F185" s="2">
        <v>1.33097641670611</v>
      </c>
      <c r="G185" s="2" t="s">
        <v>508</v>
      </c>
      <c r="H185" s="2" t="s">
        <v>509</v>
      </c>
      <c r="I185" s="2" t="s">
        <v>16</v>
      </c>
      <c r="J185" s="2" t="s">
        <v>510</v>
      </c>
      <c r="K185" s="2">
        <v>284.83967770833999</v>
      </c>
      <c r="L185" s="2">
        <v>286.17066904169002</v>
      </c>
      <c r="M185" s="2">
        <v>59.917224386866799</v>
      </c>
    </row>
    <row r="186" spans="1:13" x14ac:dyDescent="0.2">
      <c r="A186" s="2" t="s">
        <v>13</v>
      </c>
      <c r="B186" s="2">
        <v>185</v>
      </c>
      <c r="C186" s="2">
        <v>10</v>
      </c>
      <c r="D186" s="2">
        <v>2</v>
      </c>
      <c r="E186" s="2">
        <v>0</v>
      </c>
      <c r="F186" s="2">
        <v>2.7129630834096998</v>
      </c>
      <c r="G186" s="2" t="s">
        <v>511</v>
      </c>
      <c r="H186" s="2" t="s">
        <v>512</v>
      </c>
      <c r="I186" s="2" t="s">
        <v>23</v>
      </c>
      <c r="J186" s="2" t="s">
        <v>513</v>
      </c>
      <c r="K186" s="2">
        <v>286.17420725000602</v>
      </c>
      <c r="L186" s="2">
        <v>288.88718299998402</v>
      </c>
      <c r="M186" s="2">
        <v>59.917224386866799</v>
      </c>
    </row>
    <row r="187" spans="1:13" x14ac:dyDescent="0.2">
      <c r="A187" s="2" t="s">
        <v>13</v>
      </c>
      <c r="B187" s="2">
        <v>186</v>
      </c>
      <c r="C187" s="2">
        <v>10</v>
      </c>
      <c r="D187" s="2">
        <v>1</v>
      </c>
      <c r="E187" s="2">
        <v>1</v>
      </c>
      <c r="F187" s="2">
        <v>1.4796497082570601</v>
      </c>
      <c r="G187" s="2" t="s">
        <v>514</v>
      </c>
      <c r="H187" s="2" t="s">
        <v>515</v>
      </c>
      <c r="I187" s="2" t="s">
        <v>16</v>
      </c>
      <c r="J187" s="2" t="s">
        <v>516</v>
      </c>
      <c r="K187" s="2">
        <v>288.89086212508897</v>
      </c>
      <c r="L187" s="2">
        <v>290.37052554171498</v>
      </c>
      <c r="M187" s="2">
        <v>59.917224386866799</v>
      </c>
    </row>
    <row r="188" spans="1:13" x14ac:dyDescent="0.2">
      <c r="A188" s="2" t="s">
        <v>13</v>
      </c>
      <c r="B188" s="2">
        <v>187</v>
      </c>
      <c r="C188" s="2">
        <v>10</v>
      </c>
      <c r="D188" s="2">
        <v>1</v>
      </c>
      <c r="E188" s="2">
        <v>1</v>
      </c>
      <c r="F188" s="2">
        <v>1.4132201250176899</v>
      </c>
      <c r="G188" s="2" t="s">
        <v>517</v>
      </c>
      <c r="H188" s="2" t="s">
        <v>156</v>
      </c>
      <c r="I188" s="2" t="s">
        <v>16</v>
      </c>
      <c r="J188" s="2" t="s">
        <v>518</v>
      </c>
      <c r="K188" s="2">
        <v>290.37406641675602</v>
      </c>
      <c r="L188" s="2">
        <v>291.78730116668203</v>
      </c>
      <c r="M188" s="2">
        <v>59.917224386866799</v>
      </c>
    </row>
    <row r="189" spans="1:13" x14ac:dyDescent="0.2">
      <c r="A189" s="2" t="s">
        <v>13</v>
      </c>
      <c r="B189" s="2">
        <v>188</v>
      </c>
      <c r="C189" s="2">
        <v>10</v>
      </c>
      <c r="D189" s="2">
        <v>1</v>
      </c>
      <c r="E189" s="2">
        <v>1</v>
      </c>
      <c r="F189" s="2">
        <v>1.32961979159154</v>
      </c>
      <c r="G189" s="2" t="s">
        <v>519</v>
      </c>
      <c r="H189" s="2" t="s">
        <v>520</v>
      </c>
      <c r="I189" s="2" t="s">
        <v>16</v>
      </c>
      <c r="J189" s="2" t="s">
        <v>521</v>
      </c>
      <c r="K189" s="2">
        <v>291.79092904168698</v>
      </c>
      <c r="L189" s="2">
        <v>293.120564125013</v>
      </c>
      <c r="M189" s="2">
        <v>59.917224386866799</v>
      </c>
    </row>
    <row r="190" spans="1:13" x14ac:dyDescent="0.2">
      <c r="A190" s="2" t="s">
        <v>13</v>
      </c>
      <c r="B190" s="2">
        <v>189</v>
      </c>
      <c r="C190" s="2">
        <v>5</v>
      </c>
      <c r="D190" s="2">
        <v>1</v>
      </c>
      <c r="E190" s="2">
        <v>1</v>
      </c>
      <c r="F190" s="2">
        <v>0.93173645832575902</v>
      </c>
      <c r="G190" s="2" t="s">
        <v>243</v>
      </c>
      <c r="H190" s="2" t="s">
        <v>522</v>
      </c>
      <c r="I190" s="2" t="s">
        <v>16</v>
      </c>
      <c r="J190" s="2" t="s">
        <v>523</v>
      </c>
      <c r="K190" s="2">
        <v>293.12249308335601</v>
      </c>
      <c r="L190" s="2">
        <v>294.05425516667299</v>
      </c>
      <c r="M190" s="2">
        <v>59.917224386866799</v>
      </c>
    </row>
    <row r="191" spans="1:13" x14ac:dyDescent="0.2">
      <c r="A191" s="2" t="s">
        <v>13</v>
      </c>
      <c r="B191" s="2">
        <v>190</v>
      </c>
      <c r="C191" s="2">
        <v>5</v>
      </c>
      <c r="D191" s="2">
        <v>1</v>
      </c>
      <c r="E191" s="2">
        <v>1</v>
      </c>
      <c r="F191" s="2">
        <v>1.29673991666641</v>
      </c>
      <c r="G191" s="2" t="s">
        <v>161</v>
      </c>
      <c r="H191" s="2" t="s">
        <v>524</v>
      </c>
      <c r="I191" s="2" t="s">
        <v>16</v>
      </c>
      <c r="J191" s="2" t="s">
        <v>525</v>
      </c>
      <c r="K191" s="2">
        <v>294.05704733333602</v>
      </c>
      <c r="L191" s="2">
        <v>295.35380158340598</v>
      </c>
      <c r="M191" s="2">
        <v>59.917224386866799</v>
      </c>
    </row>
    <row r="192" spans="1:13" x14ac:dyDescent="0.2">
      <c r="A192" s="2" t="s">
        <v>13</v>
      </c>
      <c r="B192" s="2">
        <v>191</v>
      </c>
      <c r="C192" s="2">
        <v>5</v>
      </c>
      <c r="D192" s="2">
        <v>1</v>
      </c>
      <c r="E192" s="2">
        <v>1</v>
      </c>
      <c r="F192" s="2">
        <v>1.2147217084420801</v>
      </c>
      <c r="G192" s="2" t="s">
        <v>526</v>
      </c>
      <c r="H192" s="2" t="s">
        <v>387</v>
      </c>
      <c r="I192" s="2" t="s">
        <v>16</v>
      </c>
      <c r="J192" s="2" t="s">
        <v>527</v>
      </c>
      <c r="K192" s="2">
        <v>295.35580304171901</v>
      </c>
      <c r="L192" s="2">
        <v>296.57054454169702</v>
      </c>
      <c r="M192" s="2">
        <v>59.917224386866799</v>
      </c>
    </row>
    <row r="193" spans="1:13" x14ac:dyDescent="0.2">
      <c r="A193" s="2" t="s">
        <v>13</v>
      </c>
      <c r="B193" s="2">
        <v>192</v>
      </c>
      <c r="C193" s="2">
        <v>5</v>
      </c>
      <c r="D193" s="2">
        <v>1</v>
      </c>
      <c r="E193" s="2">
        <v>1</v>
      </c>
      <c r="F193" s="2">
        <v>1.44790500006639</v>
      </c>
      <c r="G193" s="2" t="s">
        <v>528</v>
      </c>
      <c r="H193" s="2" t="s">
        <v>529</v>
      </c>
      <c r="I193" s="2" t="s">
        <v>16</v>
      </c>
      <c r="J193" s="2" t="s">
        <v>530</v>
      </c>
      <c r="K193" s="2">
        <v>296.572552291676</v>
      </c>
      <c r="L193" s="2">
        <v>298.02046970836801</v>
      </c>
      <c r="M193" s="2">
        <v>59.917224386866799</v>
      </c>
    </row>
    <row r="194" spans="1:13" x14ac:dyDescent="0.2">
      <c r="A194" s="2" t="s">
        <v>13</v>
      </c>
      <c r="B194" s="2">
        <v>193</v>
      </c>
      <c r="C194" s="2">
        <v>10</v>
      </c>
      <c r="D194" s="2">
        <v>1</v>
      </c>
      <c r="E194" s="2">
        <v>1</v>
      </c>
      <c r="F194" s="2">
        <v>1.62984962493647</v>
      </c>
      <c r="G194" s="2" t="s">
        <v>388</v>
      </c>
      <c r="H194" s="2" t="s">
        <v>239</v>
      </c>
      <c r="I194" s="2" t="s">
        <v>16</v>
      </c>
      <c r="J194" s="2" t="s">
        <v>531</v>
      </c>
      <c r="K194" s="2">
        <v>298.02400783333002</v>
      </c>
      <c r="L194" s="2">
        <v>299.65387216664402</v>
      </c>
      <c r="M194" s="2">
        <v>59.917224386866799</v>
      </c>
    </row>
    <row r="195" spans="1:13" x14ac:dyDescent="0.2">
      <c r="A195" s="2" t="s">
        <v>13</v>
      </c>
      <c r="B195" s="2">
        <v>194</v>
      </c>
      <c r="C195" s="2">
        <v>10</v>
      </c>
      <c r="D195" s="2">
        <v>1</v>
      </c>
      <c r="E195" s="2">
        <v>1</v>
      </c>
      <c r="F195" s="2">
        <v>1.4462090416345801</v>
      </c>
      <c r="G195" s="2" t="s">
        <v>532</v>
      </c>
      <c r="H195" s="2" t="s">
        <v>533</v>
      </c>
      <c r="I195" s="2" t="s">
        <v>16</v>
      </c>
      <c r="J195" s="2" t="s">
        <v>534</v>
      </c>
      <c r="K195" s="2">
        <v>299.65751141670597</v>
      </c>
      <c r="L195" s="2">
        <v>301.10373466671399</v>
      </c>
      <c r="M195" s="2">
        <v>59.917224386866799</v>
      </c>
    </row>
    <row r="196" spans="1:13" x14ac:dyDescent="0.2">
      <c r="A196" s="2" t="s">
        <v>13</v>
      </c>
      <c r="B196" s="2">
        <v>195</v>
      </c>
      <c r="C196" s="2">
        <v>10</v>
      </c>
      <c r="D196" s="2">
        <v>1</v>
      </c>
      <c r="E196" s="2">
        <v>1</v>
      </c>
      <c r="F196" s="2">
        <v>1.37989854160696</v>
      </c>
      <c r="G196" s="2" t="s">
        <v>535</v>
      </c>
      <c r="H196" s="2" t="s">
        <v>443</v>
      </c>
      <c r="I196" s="2" t="s">
        <v>16</v>
      </c>
      <c r="J196" s="2" t="s">
        <v>536</v>
      </c>
      <c r="K196" s="2">
        <v>301.10728954174601</v>
      </c>
      <c r="L196" s="2">
        <v>302.48720145842498</v>
      </c>
      <c r="M196" s="2">
        <v>59.917224386866799</v>
      </c>
    </row>
    <row r="197" spans="1:13" x14ac:dyDescent="0.2">
      <c r="A197" s="2" t="s">
        <v>13</v>
      </c>
      <c r="B197" s="2">
        <v>196</v>
      </c>
      <c r="C197" s="2">
        <v>10</v>
      </c>
      <c r="D197" s="2">
        <v>1</v>
      </c>
      <c r="E197" s="2">
        <v>1</v>
      </c>
      <c r="F197" s="2">
        <v>1.7300826250575501</v>
      </c>
      <c r="G197" s="2" t="s">
        <v>537</v>
      </c>
      <c r="H197" s="2" t="s">
        <v>538</v>
      </c>
      <c r="I197" s="2" t="s">
        <v>16</v>
      </c>
      <c r="J197" s="2" t="s">
        <v>539</v>
      </c>
      <c r="K197" s="2">
        <v>302.490660416661</v>
      </c>
      <c r="L197" s="2">
        <v>304.22076958336402</v>
      </c>
      <c r="M197" s="2">
        <v>59.917224386866799</v>
      </c>
    </row>
    <row r="198" spans="1:13" x14ac:dyDescent="0.2">
      <c r="A198" s="2" t="s">
        <v>13</v>
      </c>
      <c r="B198" s="2">
        <v>197</v>
      </c>
      <c r="C198" s="2">
        <v>5</v>
      </c>
      <c r="D198" s="2">
        <v>1</v>
      </c>
      <c r="E198" s="2">
        <v>1</v>
      </c>
      <c r="F198" s="2">
        <v>1.51426929165609</v>
      </c>
      <c r="G198" s="2" t="s">
        <v>540</v>
      </c>
      <c r="H198" s="2" t="s">
        <v>322</v>
      </c>
      <c r="I198" s="2" t="s">
        <v>16</v>
      </c>
      <c r="J198" s="2" t="s">
        <v>541</v>
      </c>
      <c r="K198" s="2">
        <v>304.222948250012</v>
      </c>
      <c r="L198" s="2">
        <v>305.73723175004102</v>
      </c>
      <c r="M198" s="2">
        <v>59.917224386866799</v>
      </c>
    </row>
    <row r="199" spans="1:13" x14ac:dyDescent="0.2">
      <c r="A199" s="2" t="s">
        <v>13</v>
      </c>
      <c r="B199" s="2">
        <v>198</v>
      </c>
      <c r="C199" s="2">
        <v>10</v>
      </c>
      <c r="D199" s="2">
        <v>1</v>
      </c>
      <c r="E199" s="2">
        <v>1</v>
      </c>
      <c r="F199" s="2">
        <v>1.5964416249189499</v>
      </c>
      <c r="G199" s="2" t="s">
        <v>256</v>
      </c>
      <c r="H199" s="2" t="s">
        <v>542</v>
      </c>
      <c r="I199" s="2" t="s">
        <v>16</v>
      </c>
      <c r="J199" s="2" t="s">
        <v>543</v>
      </c>
      <c r="K199" s="2">
        <v>305.74081241665402</v>
      </c>
      <c r="L199" s="2">
        <v>307.33726762502903</v>
      </c>
      <c r="M199" s="2">
        <v>59.917224386866799</v>
      </c>
    </row>
    <row r="200" spans="1:13" x14ac:dyDescent="0.2">
      <c r="A200" s="2" t="s">
        <v>13</v>
      </c>
      <c r="B200" s="2">
        <v>199</v>
      </c>
      <c r="C200" s="2">
        <v>10</v>
      </c>
      <c r="D200" s="2">
        <v>1</v>
      </c>
      <c r="E200" s="2">
        <v>1</v>
      </c>
      <c r="F200" s="2">
        <v>1.61344537499826</v>
      </c>
      <c r="G200" s="2" t="s">
        <v>544</v>
      </c>
      <c r="H200" s="2" t="s">
        <v>545</v>
      </c>
      <c r="I200" s="2" t="s">
        <v>16</v>
      </c>
      <c r="J200" s="2" t="s">
        <v>546</v>
      </c>
      <c r="K200" s="2">
        <v>307.34091945842403</v>
      </c>
      <c r="L200" s="2">
        <v>308.95437979174301</v>
      </c>
      <c r="M200" s="2">
        <v>59.917224386866799</v>
      </c>
    </row>
    <row r="201" spans="1:13" x14ac:dyDescent="0.2">
      <c r="A201" s="2" t="s">
        <v>13</v>
      </c>
      <c r="B201" s="2">
        <v>200</v>
      </c>
      <c r="C201" s="2">
        <v>10</v>
      </c>
      <c r="D201" s="2">
        <v>1</v>
      </c>
      <c r="E201" s="2">
        <v>1</v>
      </c>
      <c r="F201" s="2">
        <v>1.5127886666450701</v>
      </c>
      <c r="G201" s="2" t="s">
        <v>547</v>
      </c>
      <c r="H201" s="2" t="s">
        <v>548</v>
      </c>
      <c r="I201" s="2" t="s">
        <v>16</v>
      </c>
      <c r="J201" s="2" t="s">
        <v>549</v>
      </c>
      <c r="K201" s="2">
        <v>308.95776262506803</v>
      </c>
      <c r="L201" s="2">
        <v>310.47056866669999</v>
      </c>
      <c r="M201" s="2">
        <v>59.917224386866799</v>
      </c>
    </row>
    <row r="202" spans="1:13" x14ac:dyDescent="0.2">
      <c r="A202" s="2" t="s">
        <v>550</v>
      </c>
      <c r="B202" s="2">
        <v>1</v>
      </c>
      <c r="C202" s="2">
        <v>5</v>
      </c>
      <c r="D202" s="2">
        <v>1</v>
      </c>
      <c r="E202" s="2">
        <v>1</v>
      </c>
      <c r="F202" s="2">
        <v>1.5564252082258501</v>
      </c>
      <c r="G202" s="2" t="s">
        <v>551</v>
      </c>
      <c r="H202" s="2" t="s">
        <v>322</v>
      </c>
      <c r="I202" s="2" t="s">
        <v>16</v>
      </c>
      <c r="J202" s="2" t="s">
        <v>552</v>
      </c>
      <c r="K202" s="2">
        <v>0.62053137493785504</v>
      </c>
      <c r="L202" s="2">
        <v>2.1769722499884701</v>
      </c>
      <c r="M202" s="2">
        <v>60.236291942824003</v>
      </c>
    </row>
    <row r="203" spans="1:13" x14ac:dyDescent="0.2">
      <c r="A203" s="2" t="s">
        <v>550</v>
      </c>
      <c r="B203" s="2">
        <v>2</v>
      </c>
      <c r="C203" s="2">
        <v>10</v>
      </c>
      <c r="D203" s="2">
        <v>1</v>
      </c>
      <c r="E203" s="2">
        <v>1</v>
      </c>
      <c r="F203" s="2">
        <v>1.4786026249639701</v>
      </c>
      <c r="G203" s="2" t="s">
        <v>553</v>
      </c>
      <c r="H203" s="2" t="s">
        <v>133</v>
      </c>
      <c r="I203" s="2" t="s">
        <v>16</v>
      </c>
      <c r="J203" s="2" t="s">
        <v>554</v>
      </c>
      <c r="K203" s="2">
        <v>2.1810844166902799</v>
      </c>
      <c r="L203" s="2">
        <v>3.6596992083359501</v>
      </c>
      <c r="M203" s="2">
        <v>60.236291942824003</v>
      </c>
    </row>
    <row r="204" spans="1:13" x14ac:dyDescent="0.2">
      <c r="A204" s="2" t="s">
        <v>550</v>
      </c>
      <c r="B204" s="2">
        <v>3</v>
      </c>
      <c r="C204" s="2">
        <v>10</v>
      </c>
      <c r="D204" s="2">
        <v>1</v>
      </c>
      <c r="E204" s="2">
        <v>1</v>
      </c>
      <c r="F204" s="2">
        <v>0.96336987498216298</v>
      </c>
      <c r="G204" s="2" t="s">
        <v>555</v>
      </c>
      <c r="H204" s="2" t="s">
        <v>540</v>
      </c>
      <c r="I204" s="2" t="s">
        <v>16</v>
      </c>
      <c r="J204" s="2" t="s">
        <v>556</v>
      </c>
      <c r="K204" s="2">
        <v>3.6632128333440099</v>
      </c>
      <c r="L204" s="2">
        <v>4.6265985833015302</v>
      </c>
      <c r="M204" s="2">
        <v>60.236291942824003</v>
      </c>
    </row>
    <row r="205" spans="1:13" x14ac:dyDescent="0.2">
      <c r="A205" s="2" t="s">
        <v>550</v>
      </c>
      <c r="B205" s="2">
        <v>4</v>
      </c>
      <c r="C205" s="2">
        <v>5</v>
      </c>
      <c r="D205" s="2">
        <v>1</v>
      </c>
      <c r="E205" s="2">
        <v>1</v>
      </c>
      <c r="F205" s="2">
        <v>1.48084099998232</v>
      </c>
      <c r="G205" s="2" t="s">
        <v>557</v>
      </c>
      <c r="H205" s="2" t="s">
        <v>558</v>
      </c>
      <c r="I205" s="2" t="s">
        <v>16</v>
      </c>
      <c r="J205" s="2" t="s">
        <v>559</v>
      </c>
      <c r="K205" s="2">
        <v>4.6285405416274399</v>
      </c>
      <c r="L205" s="2">
        <v>6.1093946666223902</v>
      </c>
      <c r="M205" s="2">
        <v>60.236291942824003</v>
      </c>
    </row>
    <row r="206" spans="1:13" x14ac:dyDescent="0.2">
      <c r="A206" s="2" t="s">
        <v>550</v>
      </c>
      <c r="B206" s="2">
        <v>5</v>
      </c>
      <c r="C206" s="2">
        <v>5</v>
      </c>
      <c r="D206" s="2">
        <v>1</v>
      </c>
      <c r="E206" s="2">
        <v>1</v>
      </c>
      <c r="F206" s="2">
        <v>1.4316157916327901</v>
      </c>
      <c r="G206" s="2" t="s">
        <v>560</v>
      </c>
      <c r="H206" s="2" t="s">
        <v>561</v>
      </c>
      <c r="I206" s="2" t="s">
        <v>16</v>
      </c>
      <c r="J206" s="2" t="s">
        <v>562</v>
      </c>
      <c r="K206" s="2">
        <v>6.11126379168127</v>
      </c>
      <c r="L206" s="2">
        <v>7.54289237502962</v>
      </c>
      <c r="M206" s="2">
        <v>60.236291942824003</v>
      </c>
    </row>
    <row r="207" spans="1:13" x14ac:dyDescent="0.2">
      <c r="A207" s="2" t="s">
        <v>550</v>
      </c>
      <c r="B207" s="2">
        <v>6</v>
      </c>
      <c r="C207" s="2">
        <v>10</v>
      </c>
      <c r="D207" s="2">
        <v>1</v>
      </c>
      <c r="E207" s="2">
        <v>1</v>
      </c>
      <c r="F207" s="2">
        <v>1.16307224996854</v>
      </c>
      <c r="G207" s="2" t="s">
        <v>563</v>
      </c>
      <c r="H207" s="2" t="s">
        <v>540</v>
      </c>
      <c r="I207" s="2" t="s">
        <v>16</v>
      </c>
      <c r="J207" s="2" t="s">
        <v>564</v>
      </c>
      <c r="K207" s="2">
        <v>7.5465062083676502</v>
      </c>
      <c r="L207" s="2">
        <v>8.7095903332810902</v>
      </c>
      <c r="M207" s="2">
        <v>60.236291942824003</v>
      </c>
    </row>
    <row r="208" spans="1:13" x14ac:dyDescent="0.2">
      <c r="A208" s="2" t="s">
        <v>550</v>
      </c>
      <c r="B208" s="2">
        <v>7</v>
      </c>
      <c r="C208" s="2">
        <v>5</v>
      </c>
      <c r="D208" s="2">
        <v>1</v>
      </c>
      <c r="E208" s="2">
        <v>1</v>
      </c>
      <c r="F208" s="2">
        <v>0.98121050000190702</v>
      </c>
      <c r="G208" s="2" t="s">
        <v>565</v>
      </c>
      <c r="H208" s="2" t="s">
        <v>566</v>
      </c>
      <c r="I208" s="2" t="s">
        <v>16</v>
      </c>
      <c r="J208" s="2" t="s">
        <v>567</v>
      </c>
      <c r="K208" s="2">
        <v>8.7114762916462496</v>
      </c>
      <c r="L208" s="2">
        <v>9.6926984166493604</v>
      </c>
      <c r="M208" s="2">
        <v>60.236291942824003</v>
      </c>
    </row>
    <row r="209" spans="1:13" x14ac:dyDescent="0.2">
      <c r="A209" s="2" t="s">
        <v>550</v>
      </c>
      <c r="B209" s="2">
        <v>8</v>
      </c>
      <c r="C209" s="2">
        <v>5</v>
      </c>
      <c r="D209" s="2">
        <v>1</v>
      </c>
      <c r="E209" s="2">
        <v>1</v>
      </c>
      <c r="F209" s="2">
        <v>1.24838329164777</v>
      </c>
      <c r="G209" s="2" t="s">
        <v>568</v>
      </c>
      <c r="H209" s="2" t="s">
        <v>569</v>
      </c>
      <c r="I209" s="2" t="s">
        <v>16</v>
      </c>
      <c r="J209" s="2" t="s">
        <v>570</v>
      </c>
      <c r="K209" s="2">
        <v>9.6945598332677001</v>
      </c>
      <c r="L209" s="2">
        <v>10.942955833277701</v>
      </c>
      <c r="M209" s="2">
        <v>60.236291942824003</v>
      </c>
    </row>
    <row r="210" spans="1:13" x14ac:dyDescent="0.2">
      <c r="A210" s="2" t="s">
        <v>550</v>
      </c>
      <c r="B210" s="2">
        <v>9</v>
      </c>
      <c r="C210" s="2">
        <v>10</v>
      </c>
      <c r="D210" s="2">
        <v>1</v>
      </c>
      <c r="E210" s="2">
        <v>1</v>
      </c>
      <c r="F210" s="2">
        <v>1.1130525832995799</v>
      </c>
      <c r="G210" s="2" t="s">
        <v>571</v>
      </c>
      <c r="H210" s="2" t="s">
        <v>572</v>
      </c>
      <c r="I210" s="2" t="s">
        <v>16</v>
      </c>
      <c r="J210" s="2" t="s">
        <v>573</v>
      </c>
      <c r="K210" s="2">
        <v>10.946626749937399</v>
      </c>
      <c r="L210" s="2">
        <v>12.0596929166932</v>
      </c>
      <c r="M210" s="2">
        <v>60.236291942824003</v>
      </c>
    </row>
    <row r="211" spans="1:13" x14ac:dyDescent="0.2">
      <c r="A211" s="2" t="s">
        <v>550</v>
      </c>
      <c r="B211" s="2">
        <v>10</v>
      </c>
      <c r="C211" s="2">
        <v>10</v>
      </c>
      <c r="D211" s="2">
        <v>1</v>
      </c>
      <c r="E211" s="2">
        <v>1</v>
      </c>
      <c r="F211" s="2">
        <v>1.7296992500778301</v>
      </c>
      <c r="G211" s="2" t="s">
        <v>574</v>
      </c>
      <c r="H211" s="2" t="s">
        <v>575</v>
      </c>
      <c r="I211" s="2" t="s">
        <v>16</v>
      </c>
      <c r="J211" s="2" t="s">
        <v>576</v>
      </c>
      <c r="K211" s="2">
        <v>12.0632344166515</v>
      </c>
      <c r="L211" s="2">
        <v>13.792946333298501</v>
      </c>
      <c r="M211" s="2">
        <v>60.236291942824003</v>
      </c>
    </row>
    <row r="212" spans="1:13" x14ac:dyDescent="0.2">
      <c r="A212" s="2" t="s">
        <v>550</v>
      </c>
      <c r="B212" s="2">
        <v>11</v>
      </c>
      <c r="C212" s="2">
        <v>10</v>
      </c>
      <c r="D212" s="2">
        <v>1</v>
      </c>
      <c r="E212" s="2">
        <v>1</v>
      </c>
      <c r="F212" s="2">
        <v>1.1631045833928499</v>
      </c>
      <c r="G212" s="2" t="s">
        <v>577</v>
      </c>
      <c r="H212" s="2" t="s">
        <v>233</v>
      </c>
      <c r="I212" s="2" t="s">
        <v>16</v>
      </c>
      <c r="J212" s="2" t="s">
        <v>578</v>
      </c>
      <c r="K212" s="2">
        <v>13.7964723750483</v>
      </c>
      <c r="L212" s="2">
        <v>14.9595897083636</v>
      </c>
      <c r="M212" s="2">
        <v>60.236291942824003</v>
      </c>
    </row>
    <row r="213" spans="1:13" x14ac:dyDescent="0.2">
      <c r="A213" s="2" t="s">
        <v>550</v>
      </c>
      <c r="B213" s="2">
        <v>12</v>
      </c>
      <c r="C213" s="2">
        <v>5</v>
      </c>
      <c r="D213" s="2">
        <v>1</v>
      </c>
      <c r="E213" s="2">
        <v>1</v>
      </c>
      <c r="F213" s="2">
        <v>1.11473995831329</v>
      </c>
      <c r="G213" s="2" t="s">
        <v>579</v>
      </c>
      <c r="H213" s="2" t="s">
        <v>580</v>
      </c>
      <c r="I213" s="2" t="s">
        <v>16</v>
      </c>
      <c r="J213" s="2" t="s">
        <v>581</v>
      </c>
      <c r="K213" s="2">
        <v>14.961589208338401</v>
      </c>
      <c r="L213" s="2">
        <v>16.076341749983801</v>
      </c>
      <c r="M213" s="2">
        <v>60.236291942824003</v>
      </c>
    </row>
    <row r="214" spans="1:13" x14ac:dyDescent="0.2">
      <c r="A214" s="2" t="s">
        <v>550</v>
      </c>
      <c r="B214" s="2">
        <v>13</v>
      </c>
      <c r="C214" s="2">
        <v>5</v>
      </c>
      <c r="D214" s="2">
        <v>1</v>
      </c>
      <c r="E214" s="2">
        <v>1</v>
      </c>
      <c r="F214" s="2">
        <v>1.1479336250340599</v>
      </c>
      <c r="G214" s="2" t="s">
        <v>582</v>
      </c>
      <c r="H214" s="2" t="s">
        <v>583</v>
      </c>
      <c r="I214" s="2" t="s">
        <v>16</v>
      </c>
      <c r="J214" s="2" t="s">
        <v>584</v>
      </c>
      <c r="K214" s="2">
        <v>16.078278874978398</v>
      </c>
      <c r="L214" s="2">
        <v>17.2262247083709</v>
      </c>
      <c r="M214" s="2">
        <v>60.236291942824003</v>
      </c>
    </row>
    <row r="215" spans="1:13" x14ac:dyDescent="0.2">
      <c r="A215" s="2" t="s">
        <v>550</v>
      </c>
      <c r="B215" s="2">
        <v>14</v>
      </c>
      <c r="C215" s="2">
        <v>5</v>
      </c>
      <c r="D215" s="2">
        <v>1</v>
      </c>
      <c r="E215" s="2">
        <v>1</v>
      </c>
      <c r="F215" s="2">
        <v>0.88145091664046105</v>
      </c>
      <c r="G215" s="2" t="s">
        <v>173</v>
      </c>
      <c r="H215" s="2" t="s">
        <v>585</v>
      </c>
      <c r="I215" s="2" t="s">
        <v>16</v>
      </c>
      <c r="J215" s="2" t="s">
        <v>586</v>
      </c>
      <c r="K215" s="2">
        <v>17.2281184582971</v>
      </c>
      <c r="L215" s="2">
        <v>18.1095819582697</v>
      </c>
      <c r="M215" s="2">
        <v>60.236291942824003</v>
      </c>
    </row>
    <row r="216" spans="1:13" x14ac:dyDescent="0.2">
      <c r="A216" s="2" t="s">
        <v>550</v>
      </c>
      <c r="B216" s="2">
        <v>15</v>
      </c>
      <c r="C216" s="2">
        <v>5</v>
      </c>
      <c r="D216" s="2">
        <v>1</v>
      </c>
      <c r="E216" s="2">
        <v>1</v>
      </c>
      <c r="F216" s="2">
        <v>0.764735666685738</v>
      </c>
      <c r="G216" s="2" t="s">
        <v>285</v>
      </c>
      <c r="H216" s="2" t="s">
        <v>587</v>
      </c>
      <c r="I216" s="2" t="s">
        <v>16</v>
      </c>
      <c r="J216" s="2" t="s">
        <v>588</v>
      </c>
      <c r="K216" s="2">
        <v>18.111495583318199</v>
      </c>
      <c r="L216" s="2">
        <v>18.876243375008901</v>
      </c>
      <c r="M216" s="2">
        <v>60.236291942824003</v>
      </c>
    </row>
    <row r="217" spans="1:13" x14ac:dyDescent="0.2">
      <c r="A217" s="2" t="s">
        <v>550</v>
      </c>
      <c r="B217" s="2">
        <v>16</v>
      </c>
      <c r="C217" s="2">
        <v>10</v>
      </c>
      <c r="D217" s="2">
        <v>1</v>
      </c>
      <c r="E217" s="2">
        <v>1</v>
      </c>
      <c r="F217" s="2">
        <v>1.2796160832513099</v>
      </c>
      <c r="G217" s="2" t="s">
        <v>589</v>
      </c>
      <c r="H217" s="2" t="s">
        <v>96</v>
      </c>
      <c r="I217" s="2" t="s">
        <v>16</v>
      </c>
      <c r="J217" s="2" t="s">
        <v>590</v>
      </c>
      <c r="K217" s="2">
        <v>18.879847791627999</v>
      </c>
      <c r="L217" s="2">
        <v>20.159475416643598</v>
      </c>
      <c r="M217" s="2">
        <v>60.236291942824003</v>
      </c>
    </row>
    <row r="218" spans="1:13" x14ac:dyDescent="0.2">
      <c r="A218" s="2" t="s">
        <v>550</v>
      </c>
      <c r="B218" s="2">
        <v>17</v>
      </c>
      <c r="C218" s="2">
        <v>10</v>
      </c>
      <c r="D218" s="2">
        <v>1</v>
      </c>
      <c r="E218" s="2">
        <v>1</v>
      </c>
      <c r="F218" s="2">
        <v>1.56314087507781</v>
      </c>
      <c r="G218" s="2" t="s">
        <v>591</v>
      </c>
      <c r="H218" s="2" t="s">
        <v>592</v>
      </c>
      <c r="I218" s="2" t="s">
        <v>16</v>
      </c>
      <c r="J218" s="2" t="s">
        <v>593</v>
      </c>
      <c r="K218" s="2">
        <v>20.1629879582906</v>
      </c>
      <c r="L218" s="2">
        <v>21.726140500046299</v>
      </c>
      <c r="M218" s="2">
        <v>60.236291942824003</v>
      </c>
    </row>
    <row r="219" spans="1:13" x14ac:dyDescent="0.2">
      <c r="A219" s="2" t="s">
        <v>550</v>
      </c>
      <c r="B219" s="2">
        <v>18</v>
      </c>
      <c r="C219" s="2">
        <v>10</v>
      </c>
      <c r="D219" s="2">
        <v>2</v>
      </c>
      <c r="E219" s="2">
        <v>0</v>
      </c>
      <c r="F219" s="2">
        <v>1.8132603333797299</v>
      </c>
      <c r="G219" s="2" t="s">
        <v>594</v>
      </c>
      <c r="H219" s="2" t="s">
        <v>595</v>
      </c>
      <c r="I219" s="2" t="s">
        <v>23</v>
      </c>
      <c r="J219" s="2" t="s">
        <v>596</v>
      </c>
      <c r="K219" s="2">
        <v>21.729614833369901</v>
      </c>
      <c r="L219" s="2">
        <v>23.542888333322502</v>
      </c>
      <c r="M219" s="2">
        <v>60.236291942824003</v>
      </c>
    </row>
    <row r="220" spans="1:13" x14ac:dyDescent="0.2">
      <c r="A220" s="2" t="s">
        <v>550</v>
      </c>
      <c r="B220" s="2">
        <v>19</v>
      </c>
      <c r="C220" s="2">
        <v>5</v>
      </c>
      <c r="D220" s="2">
        <v>1</v>
      </c>
      <c r="E220" s="2">
        <v>1</v>
      </c>
      <c r="F220" s="2">
        <v>0.78152166667860001</v>
      </c>
      <c r="G220" s="2" t="s">
        <v>218</v>
      </c>
      <c r="H220" s="2" t="s">
        <v>597</v>
      </c>
      <c r="I220" s="2" t="s">
        <v>16</v>
      </c>
      <c r="J220" s="2" t="s">
        <v>598</v>
      </c>
      <c r="K220" s="2">
        <v>23.544930666685101</v>
      </c>
      <c r="L220" s="2">
        <v>24.326472416636499</v>
      </c>
      <c r="M220" s="2">
        <v>60.236291942824003</v>
      </c>
    </row>
    <row r="221" spans="1:13" x14ac:dyDescent="0.2">
      <c r="A221" s="2" t="s">
        <v>550</v>
      </c>
      <c r="B221" s="2">
        <v>20</v>
      </c>
      <c r="C221" s="2">
        <v>10</v>
      </c>
      <c r="D221" s="2">
        <v>1</v>
      </c>
      <c r="E221" s="2">
        <v>1</v>
      </c>
      <c r="F221" s="2">
        <v>1.29559491656255</v>
      </c>
      <c r="G221" s="2" t="s">
        <v>599</v>
      </c>
      <c r="H221" s="2" t="s">
        <v>600</v>
      </c>
      <c r="I221" s="2" t="s">
        <v>16</v>
      </c>
      <c r="J221" s="2" t="s">
        <v>601</v>
      </c>
      <c r="K221" s="2">
        <v>24.330572583363399</v>
      </c>
      <c r="L221" s="2">
        <v>25.626180249964801</v>
      </c>
      <c r="M221" s="2">
        <v>60.236291942824003</v>
      </c>
    </row>
    <row r="222" spans="1:13" x14ac:dyDescent="0.2">
      <c r="A222" s="2" t="s">
        <v>550</v>
      </c>
      <c r="B222" s="2">
        <v>21</v>
      </c>
      <c r="C222" s="2">
        <v>5</v>
      </c>
      <c r="D222" s="2">
        <v>1</v>
      </c>
      <c r="E222" s="2">
        <v>1</v>
      </c>
      <c r="F222" s="2">
        <v>1.1811548332916599</v>
      </c>
      <c r="G222" s="2" t="s">
        <v>602</v>
      </c>
      <c r="H222" s="2" t="s">
        <v>603</v>
      </c>
      <c r="I222" s="2" t="s">
        <v>16</v>
      </c>
      <c r="J222" s="2" t="s">
        <v>604</v>
      </c>
      <c r="K222" s="2">
        <v>25.628184041706898</v>
      </c>
      <c r="L222" s="2">
        <v>26.809350708266699</v>
      </c>
      <c r="M222" s="2">
        <v>60.236291942824003</v>
      </c>
    </row>
    <row r="223" spans="1:13" x14ac:dyDescent="0.2">
      <c r="A223" s="2" t="s">
        <v>550</v>
      </c>
      <c r="B223" s="2">
        <v>22</v>
      </c>
      <c r="C223" s="2">
        <v>5</v>
      </c>
      <c r="D223" s="2">
        <v>1</v>
      </c>
      <c r="E223" s="2">
        <v>1</v>
      </c>
      <c r="F223" s="2">
        <v>1.26492495834827</v>
      </c>
      <c r="G223" s="2" t="s">
        <v>605</v>
      </c>
      <c r="H223" s="2" t="s">
        <v>606</v>
      </c>
      <c r="I223" s="2" t="s">
        <v>16</v>
      </c>
      <c r="J223" s="2" t="s">
        <v>607</v>
      </c>
      <c r="K223" s="2">
        <v>26.811277833301599</v>
      </c>
      <c r="L223" s="2">
        <v>28.0762150833616</v>
      </c>
      <c r="M223" s="2">
        <v>60.236291942824003</v>
      </c>
    </row>
    <row r="224" spans="1:13" x14ac:dyDescent="0.2">
      <c r="A224" s="2" t="s">
        <v>550</v>
      </c>
      <c r="B224" s="2">
        <v>23</v>
      </c>
      <c r="C224" s="2">
        <v>10</v>
      </c>
      <c r="D224" s="2">
        <v>1</v>
      </c>
      <c r="E224" s="2">
        <v>1</v>
      </c>
      <c r="F224" s="2">
        <v>1.4965584583114799</v>
      </c>
      <c r="G224" s="2" t="s">
        <v>199</v>
      </c>
      <c r="H224" s="2" t="s">
        <v>608</v>
      </c>
      <c r="I224" s="2" t="s">
        <v>16</v>
      </c>
      <c r="J224" s="2" t="s">
        <v>609</v>
      </c>
      <c r="K224" s="2">
        <v>28.079791208379898</v>
      </c>
      <c r="L224" s="2">
        <v>29.5763612083392</v>
      </c>
      <c r="M224" s="2">
        <v>60.236291942824003</v>
      </c>
    </row>
    <row r="225" spans="1:13" x14ac:dyDescent="0.2">
      <c r="A225" s="2" t="s">
        <v>550</v>
      </c>
      <c r="B225" s="2">
        <v>24</v>
      </c>
      <c r="C225" s="2">
        <v>10</v>
      </c>
      <c r="D225" s="2">
        <v>1</v>
      </c>
      <c r="E225" s="2">
        <v>1</v>
      </c>
      <c r="F225" s="2">
        <v>1.4463096666149799</v>
      </c>
      <c r="G225" s="2" t="s">
        <v>219</v>
      </c>
      <c r="H225" s="2" t="s">
        <v>610</v>
      </c>
      <c r="I225" s="2" t="s">
        <v>16</v>
      </c>
      <c r="J225" s="2" t="s">
        <v>611</v>
      </c>
      <c r="K225" s="2">
        <v>29.579913416644601</v>
      </c>
      <c r="L225" s="2">
        <v>31.026235458324699</v>
      </c>
      <c r="M225" s="2">
        <v>60.236291942824003</v>
      </c>
    </row>
    <row r="226" spans="1:13" x14ac:dyDescent="0.2">
      <c r="A226" s="2" t="s">
        <v>550</v>
      </c>
      <c r="B226" s="2">
        <v>25</v>
      </c>
      <c r="C226" s="2">
        <v>10</v>
      </c>
      <c r="D226" s="2">
        <v>1</v>
      </c>
      <c r="E226" s="2">
        <v>1</v>
      </c>
      <c r="F226" s="2">
        <v>1.32947670831345</v>
      </c>
      <c r="G226" s="2" t="s">
        <v>612</v>
      </c>
      <c r="H226" s="2" t="s">
        <v>432</v>
      </c>
      <c r="I226" s="2" t="s">
        <v>16</v>
      </c>
      <c r="J226" s="2" t="s">
        <v>613</v>
      </c>
      <c r="K226" s="2">
        <v>31.030008708359698</v>
      </c>
      <c r="L226" s="2">
        <v>32.359497041674302</v>
      </c>
      <c r="M226" s="2">
        <v>60.236291942824003</v>
      </c>
    </row>
    <row r="227" spans="1:13" x14ac:dyDescent="0.2">
      <c r="A227" s="2" t="s">
        <v>550</v>
      </c>
      <c r="B227" s="2">
        <v>26</v>
      </c>
      <c r="C227" s="2">
        <v>5</v>
      </c>
      <c r="D227" s="2">
        <v>1</v>
      </c>
      <c r="E227" s="2">
        <v>1</v>
      </c>
      <c r="F227" s="2">
        <v>1.44828070839867</v>
      </c>
      <c r="G227" s="2" t="s">
        <v>614</v>
      </c>
      <c r="H227" s="2" t="s">
        <v>615</v>
      </c>
      <c r="I227" s="2" t="s">
        <v>16</v>
      </c>
      <c r="J227" s="2" t="s">
        <v>616</v>
      </c>
      <c r="K227" s="2">
        <v>32.361381416674703</v>
      </c>
      <c r="L227" s="2">
        <v>33.809673583367797</v>
      </c>
      <c r="M227" s="2">
        <v>60.236291942824003</v>
      </c>
    </row>
    <row r="228" spans="1:13" x14ac:dyDescent="0.2">
      <c r="A228" s="2" t="s">
        <v>550</v>
      </c>
      <c r="B228" s="2">
        <v>27</v>
      </c>
      <c r="C228" s="2">
        <v>5</v>
      </c>
      <c r="D228" s="2">
        <v>1</v>
      </c>
      <c r="E228" s="2">
        <v>1</v>
      </c>
      <c r="F228" s="2">
        <v>1.3479952083434901</v>
      </c>
      <c r="G228" s="2" t="s">
        <v>77</v>
      </c>
      <c r="H228" s="2" t="s">
        <v>617</v>
      </c>
      <c r="I228" s="2" t="s">
        <v>16</v>
      </c>
      <c r="J228" s="2" t="s">
        <v>618</v>
      </c>
      <c r="K228" s="2">
        <v>33.811535458313301</v>
      </c>
      <c r="L228" s="2">
        <v>35.159544499940203</v>
      </c>
      <c r="M228" s="2">
        <v>60.236291942824003</v>
      </c>
    </row>
    <row r="229" spans="1:13" x14ac:dyDescent="0.2">
      <c r="A229" s="2" t="s">
        <v>550</v>
      </c>
      <c r="B229" s="2">
        <v>28</v>
      </c>
      <c r="C229" s="2">
        <v>5</v>
      </c>
      <c r="D229" s="2">
        <v>1</v>
      </c>
      <c r="E229" s="2">
        <v>1</v>
      </c>
      <c r="F229" s="2">
        <v>1.44801795831882</v>
      </c>
      <c r="G229" s="2" t="s">
        <v>619</v>
      </c>
      <c r="H229" s="2" t="s">
        <v>620</v>
      </c>
      <c r="I229" s="2" t="s">
        <v>16</v>
      </c>
      <c r="J229" s="2" t="s">
        <v>621</v>
      </c>
      <c r="K229" s="2">
        <v>35.161543749971301</v>
      </c>
      <c r="L229" s="2">
        <v>36.609572708373904</v>
      </c>
      <c r="M229" s="2">
        <v>60.236291942824003</v>
      </c>
    </row>
    <row r="230" spans="1:13" x14ac:dyDescent="0.2">
      <c r="A230" s="2" t="s">
        <v>550</v>
      </c>
      <c r="B230" s="2">
        <v>29</v>
      </c>
      <c r="C230" s="2">
        <v>5</v>
      </c>
      <c r="D230" s="2">
        <v>1</v>
      </c>
      <c r="E230" s="2">
        <v>1</v>
      </c>
      <c r="F230" s="2">
        <v>1.3813765416853101</v>
      </c>
      <c r="G230" s="2" t="s">
        <v>401</v>
      </c>
      <c r="H230" s="2" t="s">
        <v>132</v>
      </c>
      <c r="I230" s="2" t="s">
        <v>16</v>
      </c>
      <c r="J230" s="2" t="s">
        <v>622</v>
      </c>
      <c r="K230" s="2">
        <v>36.611446541617603</v>
      </c>
      <c r="L230" s="2">
        <v>37.992835958371899</v>
      </c>
      <c r="M230" s="2">
        <v>60.236291942824003</v>
      </c>
    </row>
    <row r="231" spans="1:13" x14ac:dyDescent="0.2">
      <c r="A231" s="2" t="s">
        <v>550</v>
      </c>
      <c r="B231" s="2">
        <v>30</v>
      </c>
      <c r="C231" s="2">
        <v>10</v>
      </c>
      <c r="D231" s="2">
        <v>1</v>
      </c>
      <c r="E231" s="2">
        <v>1</v>
      </c>
      <c r="F231" s="2">
        <v>1.2462920417310701</v>
      </c>
      <c r="G231" s="2" t="s">
        <v>202</v>
      </c>
      <c r="H231" s="2" t="s">
        <v>623</v>
      </c>
      <c r="I231" s="2" t="s">
        <v>16</v>
      </c>
      <c r="J231" s="2" t="s">
        <v>624</v>
      </c>
      <c r="K231" s="2">
        <v>37.996463124989504</v>
      </c>
      <c r="L231" s="2">
        <v>39.242767083342201</v>
      </c>
      <c r="M231" s="2">
        <v>60.236291942824003</v>
      </c>
    </row>
    <row r="232" spans="1:13" x14ac:dyDescent="0.2">
      <c r="A232" s="2" t="s">
        <v>550</v>
      </c>
      <c r="B232" s="2">
        <v>31</v>
      </c>
      <c r="C232" s="2">
        <v>10</v>
      </c>
      <c r="D232" s="2">
        <v>1</v>
      </c>
      <c r="E232" s="2">
        <v>1</v>
      </c>
      <c r="F232" s="2">
        <v>1.4633216250222201</v>
      </c>
      <c r="G232" s="2" t="s">
        <v>589</v>
      </c>
      <c r="H232" s="2" t="s">
        <v>164</v>
      </c>
      <c r="I232" s="2" t="s">
        <v>16</v>
      </c>
      <c r="J232" s="2" t="s">
        <v>625</v>
      </c>
      <c r="K232" s="2">
        <v>39.246320583275498</v>
      </c>
      <c r="L232" s="2">
        <v>40.709655000013299</v>
      </c>
      <c r="M232" s="2">
        <v>60.236291942824003</v>
      </c>
    </row>
    <row r="233" spans="1:13" x14ac:dyDescent="0.2">
      <c r="A233" s="2" t="s">
        <v>550</v>
      </c>
      <c r="B233" s="2">
        <v>32</v>
      </c>
      <c r="C233" s="2">
        <v>5</v>
      </c>
      <c r="D233" s="2">
        <v>1</v>
      </c>
      <c r="E233" s="2">
        <v>1</v>
      </c>
      <c r="F233" s="2">
        <v>1.2147223333595301</v>
      </c>
      <c r="G233" s="2" t="s">
        <v>199</v>
      </c>
      <c r="H233" s="2" t="s">
        <v>626</v>
      </c>
      <c r="I233" s="2" t="s">
        <v>16</v>
      </c>
      <c r="J233" s="2" t="s">
        <v>627</v>
      </c>
      <c r="K233" s="2">
        <v>40.711502666701598</v>
      </c>
      <c r="L233" s="2">
        <v>41.926238833344499</v>
      </c>
      <c r="M233" s="2">
        <v>60.236291942824003</v>
      </c>
    </row>
    <row r="234" spans="1:13" x14ac:dyDescent="0.2">
      <c r="A234" s="2" t="s">
        <v>550</v>
      </c>
      <c r="B234" s="2">
        <v>33</v>
      </c>
      <c r="C234" s="2">
        <v>10</v>
      </c>
      <c r="D234" s="2">
        <v>1</v>
      </c>
      <c r="E234" s="2">
        <v>1</v>
      </c>
      <c r="F234" s="2">
        <v>1.31290220841765</v>
      </c>
      <c r="G234" s="2" t="s">
        <v>628</v>
      </c>
      <c r="H234" s="2" t="s">
        <v>585</v>
      </c>
      <c r="I234" s="2" t="s">
        <v>16</v>
      </c>
      <c r="J234" s="2" t="s">
        <v>629</v>
      </c>
      <c r="K234" s="2">
        <v>41.929844916681802</v>
      </c>
      <c r="L234" s="2">
        <v>43.242758208303698</v>
      </c>
      <c r="M234" s="2">
        <v>60.236291942824003</v>
      </c>
    </row>
    <row r="235" spans="1:13" x14ac:dyDescent="0.2">
      <c r="A235" s="2" t="s">
        <v>550</v>
      </c>
      <c r="B235" s="2">
        <v>34</v>
      </c>
      <c r="C235" s="2">
        <v>10</v>
      </c>
      <c r="D235" s="2">
        <v>1</v>
      </c>
      <c r="E235" s="2">
        <v>1</v>
      </c>
      <c r="F235" s="2">
        <v>1.31360908329953</v>
      </c>
      <c r="G235" s="2" t="s">
        <v>630</v>
      </c>
      <c r="H235" s="2" t="s">
        <v>356</v>
      </c>
      <c r="I235" s="2" t="s">
        <v>16</v>
      </c>
      <c r="J235" s="2" t="s">
        <v>631</v>
      </c>
      <c r="K235" s="2">
        <v>43.246239958331003</v>
      </c>
      <c r="L235" s="2">
        <v>44.5598722499562</v>
      </c>
      <c r="M235" s="2">
        <v>60.236291942824003</v>
      </c>
    </row>
    <row r="236" spans="1:13" x14ac:dyDescent="0.2">
      <c r="A236" s="2" t="s">
        <v>550</v>
      </c>
      <c r="B236" s="2">
        <v>35</v>
      </c>
      <c r="C236" s="2">
        <v>5</v>
      </c>
      <c r="D236" s="2">
        <v>1</v>
      </c>
      <c r="E236" s="2">
        <v>1</v>
      </c>
      <c r="F236" s="2">
        <v>0.96413533331360701</v>
      </c>
      <c r="G236" s="2" t="s">
        <v>632</v>
      </c>
      <c r="H236" s="2" t="s">
        <v>633</v>
      </c>
      <c r="I236" s="2" t="s">
        <v>16</v>
      </c>
      <c r="J236" s="2" t="s">
        <v>634</v>
      </c>
      <c r="K236" s="2">
        <v>44.562025999999598</v>
      </c>
      <c r="L236" s="2">
        <v>45.526175333303399</v>
      </c>
      <c r="M236" s="2">
        <v>60.236291942824003</v>
      </c>
    </row>
    <row r="237" spans="1:13" x14ac:dyDescent="0.2">
      <c r="A237" s="2" t="s">
        <v>550</v>
      </c>
      <c r="B237" s="2">
        <v>36</v>
      </c>
      <c r="C237" s="2">
        <v>10</v>
      </c>
      <c r="D237" s="2">
        <v>1</v>
      </c>
      <c r="E237" s="2">
        <v>1</v>
      </c>
      <c r="F237" s="2">
        <v>1.4297036665957401</v>
      </c>
      <c r="G237" s="2" t="s">
        <v>335</v>
      </c>
      <c r="H237" s="2" t="s">
        <v>635</v>
      </c>
      <c r="I237" s="2" t="s">
        <v>16</v>
      </c>
      <c r="J237" s="2" t="s">
        <v>636</v>
      </c>
      <c r="K237" s="2">
        <v>45.529781708377399</v>
      </c>
      <c r="L237" s="2">
        <v>46.959498250042103</v>
      </c>
      <c r="M237" s="2">
        <v>60.236291942824003</v>
      </c>
    </row>
    <row r="238" spans="1:13" x14ac:dyDescent="0.2">
      <c r="A238" s="2" t="s">
        <v>550</v>
      </c>
      <c r="B238" s="2">
        <v>37</v>
      </c>
      <c r="C238" s="2">
        <v>10</v>
      </c>
      <c r="D238" s="2">
        <v>1</v>
      </c>
      <c r="E238" s="2">
        <v>1</v>
      </c>
      <c r="F238" s="2">
        <v>1.77951312495861</v>
      </c>
      <c r="G238" s="2" t="s">
        <v>637</v>
      </c>
      <c r="H238" s="2" t="s">
        <v>638</v>
      </c>
      <c r="I238" s="2" t="s">
        <v>16</v>
      </c>
      <c r="J238" s="2" t="s">
        <v>639</v>
      </c>
      <c r="K238" s="2">
        <v>46.9631057083607</v>
      </c>
      <c r="L238" s="2">
        <v>48.742631083354397</v>
      </c>
      <c r="M238" s="2">
        <v>60.236291942824003</v>
      </c>
    </row>
    <row r="239" spans="1:13" x14ac:dyDescent="0.2">
      <c r="A239" s="2" t="s">
        <v>550</v>
      </c>
      <c r="B239" s="2">
        <v>38</v>
      </c>
      <c r="C239" s="2">
        <v>10</v>
      </c>
      <c r="D239" s="2">
        <v>1</v>
      </c>
      <c r="E239" s="2">
        <v>1</v>
      </c>
      <c r="F239" s="2">
        <v>1.31331241666339</v>
      </c>
      <c r="G239" s="2" t="s">
        <v>640</v>
      </c>
      <c r="H239" s="2" t="s">
        <v>259</v>
      </c>
      <c r="I239" s="2" t="s">
        <v>16</v>
      </c>
      <c r="J239" s="2" t="s">
        <v>641</v>
      </c>
      <c r="K239" s="2">
        <v>48.746157124987803</v>
      </c>
      <c r="L239" s="2">
        <v>50.059484374942301</v>
      </c>
      <c r="M239" s="2">
        <v>60.236291942824003</v>
      </c>
    </row>
    <row r="240" spans="1:13" x14ac:dyDescent="0.2">
      <c r="A240" s="2" t="s">
        <v>550</v>
      </c>
      <c r="B240" s="2">
        <v>39</v>
      </c>
      <c r="C240" s="2">
        <v>5</v>
      </c>
      <c r="D240" s="2">
        <v>1</v>
      </c>
      <c r="E240" s="2">
        <v>1</v>
      </c>
      <c r="F240" s="2">
        <v>1.6147201249841601</v>
      </c>
      <c r="G240" s="2" t="s">
        <v>642</v>
      </c>
      <c r="H240" s="2" t="s">
        <v>643</v>
      </c>
      <c r="I240" s="2" t="s">
        <v>16</v>
      </c>
      <c r="J240" s="2" t="s">
        <v>644</v>
      </c>
      <c r="K240" s="2">
        <v>50.061485375044903</v>
      </c>
      <c r="L240" s="2">
        <v>51.676219374989202</v>
      </c>
      <c r="M240" s="2">
        <v>60.236291942824003</v>
      </c>
    </row>
    <row r="241" spans="1:13" x14ac:dyDescent="0.2">
      <c r="A241" s="2" t="s">
        <v>550</v>
      </c>
      <c r="B241" s="2">
        <v>40</v>
      </c>
      <c r="C241" s="2">
        <v>5</v>
      </c>
      <c r="D241" s="2">
        <v>1</v>
      </c>
      <c r="E241" s="2">
        <v>1</v>
      </c>
      <c r="F241" s="2">
        <v>1.88132304162718</v>
      </c>
      <c r="G241" s="2" t="s">
        <v>645</v>
      </c>
      <c r="H241" s="2" t="s">
        <v>417</v>
      </c>
      <c r="I241" s="2" t="s">
        <v>16</v>
      </c>
      <c r="J241" s="2" t="s">
        <v>646</v>
      </c>
      <c r="K241" s="2">
        <v>51.678130583372003</v>
      </c>
      <c r="L241" s="2">
        <v>53.559465624974102</v>
      </c>
      <c r="M241" s="2">
        <v>60.236291942824003</v>
      </c>
    </row>
    <row r="242" spans="1:13" x14ac:dyDescent="0.2">
      <c r="A242" s="2" t="s">
        <v>550</v>
      </c>
      <c r="B242" s="2">
        <v>41</v>
      </c>
      <c r="C242" s="2">
        <v>5</v>
      </c>
      <c r="D242" s="2">
        <v>1</v>
      </c>
      <c r="E242" s="2">
        <v>1</v>
      </c>
      <c r="F242" s="2">
        <v>1.34790100005921</v>
      </c>
      <c r="G242" s="2" t="s">
        <v>647</v>
      </c>
      <c r="H242" s="2" t="s">
        <v>648</v>
      </c>
      <c r="I242" s="2" t="s">
        <v>16</v>
      </c>
      <c r="J242" s="2" t="s">
        <v>649</v>
      </c>
      <c r="K242" s="2">
        <v>53.561387791647597</v>
      </c>
      <c r="L242" s="2">
        <v>54.909304083324997</v>
      </c>
      <c r="M242" s="2">
        <v>60.236291942824003</v>
      </c>
    </row>
    <row r="243" spans="1:13" x14ac:dyDescent="0.2">
      <c r="A243" s="2" t="s">
        <v>550</v>
      </c>
      <c r="B243" s="2">
        <v>42</v>
      </c>
      <c r="C243" s="2">
        <v>5</v>
      </c>
      <c r="D243" s="2">
        <v>1</v>
      </c>
      <c r="E243" s="2">
        <v>1</v>
      </c>
      <c r="F243" s="2">
        <v>1.1481696249684299</v>
      </c>
      <c r="G243" s="2" t="s">
        <v>650</v>
      </c>
      <c r="H243" s="2" t="s">
        <v>651</v>
      </c>
      <c r="I243" s="2" t="s">
        <v>16</v>
      </c>
      <c r="J243" s="2" t="s">
        <v>652</v>
      </c>
      <c r="K243" s="2">
        <v>54.911335166660102</v>
      </c>
      <c r="L243" s="2">
        <v>56.0595177499345</v>
      </c>
      <c r="M243" s="2">
        <v>60.236291942824003</v>
      </c>
    </row>
    <row r="244" spans="1:13" x14ac:dyDescent="0.2">
      <c r="A244" s="2" t="s">
        <v>550</v>
      </c>
      <c r="B244" s="2">
        <v>43</v>
      </c>
      <c r="C244" s="2">
        <v>5</v>
      </c>
      <c r="D244" s="2">
        <v>1</v>
      </c>
      <c r="E244" s="2">
        <v>1</v>
      </c>
      <c r="F244" s="2">
        <v>2.3646009167423498</v>
      </c>
      <c r="G244" s="2" t="s">
        <v>653</v>
      </c>
      <c r="H244" s="2" t="s">
        <v>654</v>
      </c>
      <c r="I244" s="2" t="s">
        <v>16</v>
      </c>
      <c r="J244" s="2" t="s">
        <v>655</v>
      </c>
      <c r="K244" s="2">
        <v>56.061508166603701</v>
      </c>
      <c r="L244" s="2">
        <v>58.426121458294801</v>
      </c>
      <c r="M244" s="2">
        <v>60.236291942824003</v>
      </c>
    </row>
    <row r="245" spans="1:13" x14ac:dyDescent="0.2">
      <c r="A245" s="2" t="s">
        <v>550</v>
      </c>
      <c r="B245" s="2">
        <v>44</v>
      </c>
      <c r="C245" s="2">
        <v>10</v>
      </c>
      <c r="D245" s="2">
        <v>2</v>
      </c>
      <c r="E245" s="2">
        <v>0</v>
      </c>
      <c r="F245" s="2">
        <v>1.82967433333397</v>
      </c>
      <c r="G245" s="2" t="s">
        <v>656</v>
      </c>
      <c r="H245" s="2" t="s">
        <v>657</v>
      </c>
      <c r="I245" s="2" t="s">
        <v>23</v>
      </c>
      <c r="J245" s="2" t="s">
        <v>658</v>
      </c>
      <c r="K245" s="2">
        <v>58.429733374971001</v>
      </c>
      <c r="L245" s="2">
        <v>60.259420958347597</v>
      </c>
      <c r="M245" s="2">
        <v>60.236291942824003</v>
      </c>
    </row>
    <row r="246" spans="1:13" x14ac:dyDescent="0.2">
      <c r="A246" s="2" t="s">
        <v>550</v>
      </c>
      <c r="B246" s="2">
        <v>45</v>
      </c>
      <c r="C246" s="2">
        <v>5</v>
      </c>
      <c r="D246" s="2">
        <v>2</v>
      </c>
      <c r="E246" s="2">
        <v>0</v>
      </c>
      <c r="F246" s="2">
        <v>1.76448604173493</v>
      </c>
      <c r="G246" s="2" t="s">
        <v>659</v>
      </c>
      <c r="H246" s="2" t="s">
        <v>660</v>
      </c>
      <c r="I246" s="2" t="s">
        <v>23</v>
      </c>
      <c r="J246" s="2" t="s">
        <v>661</v>
      </c>
      <c r="K246" s="2">
        <v>60.261498249950797</v>
      </c>
      <c r="L246" s="2">
        <v>62.025995375006502</v>
      </c>
      <c r="M246" s="2">
        <v>60.236291942824003</v>
      </c>
    </row>
    <row r="247" spans="1:13" x14ac:dyDescent="0.2">
      <c r="A247" s="2" t="s">
        <v>550</v>
      </c>
      <c r="B247" s="2">
        <v>46</v>
      </c>
      <c r="C247" s="2">
        <v>10</v>
      </c>
      <c r="D247" s="2">
        <v>1</v>
      </c>
      <c r="E247" s="2">
        <v>1</v>
      </c>
      <c r="F247" s="2">
        <v>1.04655512492172</v>
      </c>
      <c r="G247" s="2" t="s">
        <v>662</v>
      </c>
      <c r="H247" s="2" t="s">
        <v>439</v>
      </c>
      <c r="I247" s="2" t="s">
        <v>16</v>
      </c>
      <c r="J247" s="2" t="s">
        <v>663</v>
      </c>
      <c r="K247" s="2">
        <v>62.029591416707298</v>
      </c>
      <c r="L247" s="2">
        <v>63.0761587499874</v>
      </c>
      <c r="M247" s="2">
        <v>60.236291942824003</v>
      </c>
    </row>
    <row r="248" spans="1:13" x14ac:dyDescent="0.2">
      <c r="A248" s="2" t="s">
        <v>550</v>
      </c>
      <c r="B248" s="2">
        <v>47</v>
      </c>
      <c r="C248" s="2">
        <v>5</v>
      </c>
      <c r="D248" s="2">
        <v>1</v>
      </c>
      <c r="E248" s="2">
        <v>1</v>
      </c>
      <c r="F248" s="2">
        <v>1.3148394167656099</v>
      </c>
      <c r="G248" s="2" t="s">
        <v>664</v>
      </c>
      <c r="H248" s="2" t="s">
        <v>529</v>
      </c>
      <c r="I248" s="2" t="s">
        <v>16</v>
      </c>
      <c r="J248" s="2" t="s">
        <v>665</v>
      </c>
      <c r="K248" s="2">
        <v>63.078057499951697</v>
      </c>
      <c r="L248" s="2">
        <v>64.392910833354094</v>
      </c>
      <c r="M248" s="2">
        <v>60.236291942824003</v>
      </c>
    </row>
    <row r="249" spans="1:13" x14ac:dyDescent="0.2">
      <c r="A249" s="2" t="s">
        <v>550</v>
      </c>
      <c r="B249" s="2">
        <v>48</v>
      </c>
      <c r="C249" s="2">
        <v>10</v>
      </c>
      <c r="D249" s="2">
        <v>1</v>
      </c>
      <c r="E249" s="2">
        <v>1</v>
      </c>
      <c r="F249" s="2">
        <v>1.5627637082943699</v>
      </c>
      <c r="G249" s="2" t="s">
        <v>666</v>
      </c>
      <c r="H249" s="2" t="s">
        <v>667</v>
      </c>
      <c r="I249" s="2" t="s">
        <v>16</v>
      </c>
      <c r="J249" s="2" t="s">
        <v>668</v>
      </c>
      <c r="K249" s="2">
        <v>64.396450208267197</v>
      </c>
      <c r="L249" s="2">
        <v>65.959239291609293</v>
      </c>
      <c r="M249" s="2">
        <v>60.236291942824003</v>
      </c>
    </row>
    <row r="250" spans="1:13" x14ac:dyDescent="0.2">
      <c r="A250" s="2" t="s">
        <v>550</v>
      </c>
      <c r="B250" s="2">
        <v>49</v>
      </c>
      <c r="C250" s="2">
        <v>10</v>
      </c>
      <c r="D250" s="2">
        <v>1</v>
      </c>
      <c r="E250" s="2">
        <v>1</v>
      </c>
      <c r="F250" s="2">
        <v>0.86324674997013096</v>
      </c>
      <c r="G250" s="2" t="s">
        <v>669</v>
      </c>
      <c r="H250" s="2" t="s">
        <v>670</v>
      </c>
      <c r="I250" s="2" t="s">
        <v>16</v>
      </c>
      <c r="J250" s="2" t="s">
        <v>671</v>
      </c>
      <c r="K250" s="2">
        <v>65.962923750048503</v>
      </c>
      <c r="L250" s="2">
        <v>66.826185500016393</v>
      </c>
      <c r="M250" s="2">
        <v>60.236291942824003</v>
      </c>
    </row>
    <row r="251" spans="1:13" x14ac:dyDescent="0.2">
      <c r="A251" s="2" t="s">
        <v>550</v>
      </c>
      <c r="B251" s="2">
        <v>50</v>
      </c>
      <c r="C251" s="2">
        <v>5</v>
      </c>
      <c r="D251" s="2">
        <v>2</v>
      </c>
      <c r="E251" s="2">
        <v>0</v>
      </c>
      <c r="F251" s="2">
        <v>1.8144617916550501</v>
      </c>
      <c r="G251" s="2" t="s">
        <v>672</v>
      </c>
      <c r="H251" s="2" t="s">
        <v>673</v>
      </c>
      <c r="I251" s="2" t="s">
        <v>23</v>
      </c>
      <c r="J251" s="2" t="s">
        <v>674</v>
      </c>
      <c r="K251" s="2">
        <v>66.828186374972603</v>
      </c>
      <c r="L251" s="2">
        <v>68.642660041688899</v>
      </c>
      <c r="M251" s="2">
        <v>60.236291942824003</v>
      </c>
    </row>
    <row r="252" spans="1:13" x14ac:dyDescent="0.2">
      <c r="A252" s="2" t="s">
        <v>550</v>
      </c>
      <c r="B252" s="2">
        <v>51</v>
      </c>
      <c r="C252" s="2">
        <v>5</v>
      </c>
      <c r="D252" s="2">
        <v>2</v>
      </c>
      <c r="E252" s="2">
        <v>0</v>
      </c>
      <c r="F252" s="2">
        <v>1.7491274167550701</v>
      </c>
      <c r="G252" s="2" t="s">
        <v>675</v>
      </c>
      <c r="H252" s="2" t="s">
        <v>676</v>
      </c>
      <c r="I252" s="2" t="s">
        <v>23</v>
      </c>
      <c r="J252" s="2" t="s">
        <v>677</v>
      </c>
      <c r="K252" s="2">
        <v>68.676965749939001</v>
      </c>
      <c r="L252" s="2">
        <v>70.426104541635098</v>
      </c>
      <c r="M252" s="2">
        <v>60.236291942824003</v>
      </c>
    </row>
    <row r="253" spans="1:13" x14ac:dyDescent="0.2">
      <c r="A253" s="2" t="s">
        <v>550</v>
      </c>
      <c r="B253" s="2">
        <v>52</v>
      </c>
      <c r="C253" s="2">
        <v>5</v>
      </c>
      <c r="D253" s="2">
        <v>1</v>
      </c>
      <c r="E253" s="2">
        <v>1</v>
      </c>
      <c r="F253" s="2">
        <v>1.36455320834648</v>
      </c>
      <c r="G253" s="2" t="s">
        <v>678</v>
      </c>
      <c r="H253" s="2" t="s">
        <v>679</v>
      </c>
      <c r="I253" s="2" t="s">
        <v>16</v>
      </c>
      <c r="J253" s="2" t="s">
        <v>680</v>
      </c>
      <c r="K253" s="2">
        <v>70.428157874965095</v>
      </c>
      <c r="L253" s="2">
        <v>71.792723416699999</v>
      </c>
      <c r="M253" s="2">
        <v>60.236291942824003</v>
      </c>
    </row>
    <row r="254" spans="1:13" x14ac:dyDescent="0.2">
      <c r="A254" s="2" t="s">
        <v>550</v>
      </c>
      <c r="B254" s="2">
        <v>53</v>
      </c>
      <c r="C254" s="2">
        <v>5</v>
      </c>
      <c r="D254" s="2">
        <v>1</v>
      </c>
      <c r="E254" s="2">
        <v>1</v>
      </c>
      <c r="F254" s="2">
        <v>1.01458449999336</v>
      </c>
      <c r="G254" s="2" t="s">
        <v>126</v>
      </c>
      <c r="H254" s="2" t="s">
        <v>681</v>
      </c>
      <c r="I254" s="2" t="s">
        <v>16</v>
      </c>
      <c r="J254" s="2" t="s">
        <v>682</v>
      </c>
      <c r="K254" s="2">
        <v>71.794732708367505</v>
      </c>
      <c r="L254" s="2">
        <v>72.809329333365895</v>
      </c>
      <c r="M254" s="2">
        <v>60.236291942824003</v>
      </c>
    </row>
    <row r="255" spans="1:13" x14ac:dyDescent="0.2">
      <c r="A255" s="2" t="s">
        <v>550</v>
      </c>
      <c r="B255" s="2">
        <v>54</v>
      </c>
      <c r="C255" s="2">
        <v>10</v>
      </c>
      <c r="D255" s="2">
        <v>1</v>
      </c>
      <c r="E255" s="2">
        <v>1</v>
      </c>
      <c r="F255" s="2">
        <v>1.5133193749934399</v>
      </c>
      <c r="G255" s="2" t="s">
        <v>312</v>
      </c>
      <c r="H255" s="2" t="s">
        <v>329</v>
      </c>
      <c r="I255" s="2" t="s">
        <v>16</v>
      </c>
      <c r="J255" s="2" t="s">
        <v>683</v>
      </c>
      <c r="K255" s="2">
        <v>72.812822083360501</v>
      </c>
      <c r="L255" s="2">
        <v>74.326154125039494</v>
      </c>
      <c r="M255" s="2">
        <v>60.236291942824003</v>
      </c>
    </row>
    <row r="256" spans="1:13" x14ac:dyDescent="0.2">
      <c r="A256" s="2" t="s">
        <v>550</v>
      </c>
      <c r="B256" s="2">
        <v>55</v>
      </c>
      <c r="C256" s="2">
        <v>5</v>
      </c>
      <c r="D256" s="2">
        <v>1</v>
      </c>
      <c r="E256" s="2">
        <v>1</v>
      </c>
      <c r="F256" s="2">
        <v>1.8647065417608299</v>
      </c>
      <c r="G256" s="2" t="s">
        <v>439</v>
      </c>
      <c r="H256" s="2" t="s">
        <v>684</v>
      </c>
      <c r="I256" s="2" t="s">
        <v>16</v>
      </c>
      <c r="J256" s="2" t="s">
        <v>685</v>
      </c>
      <c r="K256" s="2">
        <v>74.328124708379605</v>
      </c>
      <c r="L256" s="2">
        <v>76.192847041646004</v>
      </c>
      <c r="M256" s="2">
        <v>60.236291942824003</v>
      </c>
    </row>
    <row r="257" spans="1:13" x14ac:dyDescent="0.2">
      <c r="A257" s="2" t="s">
        <v>550</v>
      </c>
      <c r="B257" s="2">
        <v>56</v>
      </c>
      <c r="C257" s="2">
        <v>5</v>
      </c>
      <c r="D257" s="2">
        <v>1</v>
      </c>
      <c r="E257" s="2">
        <v>1</v>
      </c>
      <c r="F257" s="2">
        <v>1.298014916596</v>
      </c>
      <c r="G257" s="2" t="s">
        <v>484</v>
      </c>
      <c r="H257" s="2" t="s">
        <v>470</v>
      </c>
      <c r="I257" s="2" t="s">
        <v>16</v>
      </c>
      <c r="J257" s="2" t="s">
        <v>686</v>
      </c>
      <c r="K257" s="2">
        <v>76.194798749987996</v>
      </c>
      <c r="L257" s="2">
        <v>77.492825708352001</v>
      </c>
      <c r="M257" s="2">
        <v>60.236291942824003</v>
      </c>
    </row>
    <row r="258" spans="1:13" x14ac:dyDescent="0.2">
      <c r="A258" s="2" t="s">
        <v>550</v>
      </c>
      <c r="B258" s="2">
        <v>57</v>
      </c>
      <c r="C258" s="2">
        <v>5</v>
      </c>
      <c r="D258" s="2">
        <v>1</v>
      </c>
      <c r="E258" s="2">
        <v>1</v>
      </c>
      <c r="F258" s="2">
        <v>1.0645470416639</v>
      </c>
      <c r="G258" s="2" t="s">
        <v>687</v>
      </c>
      <c r="H258" s="2" t="s">
        <v>362</v>
      </c>
      <c r="I258" s="2" t="s">
        <v>16</v>
      </c>
      <c r="J258" s="2" t="s">
        <v>688</v>
      </c>
      <c r="K258" s="2">
        <v>77.4948122500209</v>
      </c>
      <c r="L258" s="2">
        <v>78.559373708325396</v>
      </c>
      <c r="M258" s="2">
        <v>60.236291942824003</v>
      </c>
    </row>
    <row r="259" spans="1:13" x14ac:dyDescent="0.2">
      <c r="A259" s="2" t="s">
        <v>550</v>
      </c>
      <c r="B259" s="2">
        <v>58</v>
      </c>
      <c r="C259" s="2">
        <v>5</v>
      </c>
      <c r="D259" s="2">
        <v>1</v>
      </c>
      <c r="E259" s="2">
        <v>1</v>
      </c>
      <c r="F259" s="2">
        <v>1.3315244999248499</v>
      </c>
      <c r="G259" s="2" t="s">
        <v>689</v>
      </c>
      <c r="H259" s="2" t="s">
        <v>76</v>
      </c>
      <c r="I259" s="2" t="s">
        <v>16</v>
      </c>
      <c r="J259" s="2" t="s">
        <v>690</v>
      </c>
      <c r="K259" s="2">
        <v>78.561386000015801</v>
      </c>
      <c r="L259" s="2">
        <v>79.892939749988699</v>
      </c>
      <c r="M259" s="2">
        <v>60.236291942824003</v>
      </c>
    </row>
    <row r="260" spans="1:13" x14ac:dyDescent="0.2">
      <c r="A260" s="2" t="s">
        <v>550</v>
      </c>
      <c r="B260" s="2">
        <v>59</v>
      </c>
      <c r="C260" s="2">
        <v>10</v>
      </c>
      <c r="D260" s="2">
        <v>1</v>
      </c>
      <c r="E260" s="2">
        <v>1</v>
      </c>
      <c r="F260" s="2">
        <v>1.0964110000059</v>
      </c>
      <c r="G260" s="2" t="s">
        <v>533</v>
      </c>
      <c r="H260" s="2" t="s">
        <v>691</v>
      </c>
      <c r="I260" s="2" t="s">
        <v>16</v>
      </c>
      <c r="J260" s="2" t="s">
        <v>692</v>
      </c>
      <c r="K260" s="2">
        <v>79.896576958359205</v>
      </c>
      <c r="L260" s="2">
        <v>80.993000791640995</v>
      </c>
      <c r="M260" s="2">
        <v>60.236291942824003</v>
      </c>
    </row>
    <row r="261" spans="1:13" x14ac:dyDescent="0.2">
      <c r="A261" s="2" t="s">
        <v>550</v>
      </c>
      <c r="B261" s="2">
        <v>60</v>
      </c>
      <c r="C261" s="2">
        <v>10</v>
      </c>
      <c r="D261" s="2">
        <v>1</v>
      </c>
      <c r="E261" s="2">
        <v>1</v>
      </c>
      <c r="F261" s="2">
        <v>1.1128237916855099</v>
      </c>
      <c r="G261" s="2" t="s">
        <v>28</v>
      </c>
      <c r="H261" s="2" t="s">
        <v>147</v>
      </c>
      <c r="I261" s="2" t="s">
        <v>16</v>
      </c>
      <c r="J261" s="2" t="s">
        <v>693</v>
      </c>
      <c r="K261" s="2">
        <v>80.996699000010295</v>
      </c>
      <c r="L261" s="2">
        <v>82.109536791685997</v>
      </c>
      <c r="M261" s="2">
        <v>60.236291942824003</v>
      </c>
    </row>
    <row r="262" spans="1:13" x14ac:dyDescent="0.2">
      <c r="A262" s="2" t="s">
        <v>550</v>
      </c>
      <c r="B262" s="2">
        <v>61</v>
      </c>
      <c r="C262" s="2">
        <v>10</v>
      </c>
      <c r="D262" s="2">
        <v>1</v>
      </c>
      <c r="E262" s="2">
        <v>1</v>
      </c>
      <c r="F262" s="2">
        <v>1.54600433330052</v>
      </c>
      <c r="G262" s="2" t="s">
        <v>694</v>
      </c>
      <c r="H262" s="2" t="s">
        <v>695</v>
      </c>
      <c r="I262" s="2" t="s">
        <v>16</v>
      </c>
      <c r="J262" s="2" t="s">
        <v>696</v>
      </c>
      <c r="K262" s="2">
        <v>82.113351291627595</v>
      </c>
      <c r="L262" s="2">
        <v>83.659370374982302</v>
      </c>
      <c r="M262" s="2">
        <v>60.236291942824003</v>
      </c>
    </row>
    <row r="263" spans="1:13" x14ac:dyDescent="0.2">
      <c r="A263" s="2" t="s">
        <v>550</v>
      </c>
      <c r="B263" s="2">
        <v>62</v>
      </c>
      <c r="C263" s="2">
        <v>10</v>
      </c>
      <c r="D263" s="2">
        <v>1</v>
      </c>
      <c r="E263" s="2">
        <v>1</v>
      </c>
      <c r="F263" s="2">
        <v>1.3800002499483499</v>
      </c>
      <c r="G263" s="2" t="s">
        <v>697</v>
      </c>
      <c r="H263" s="2" t="s">
        <v>698</v>
      </c>
      <c r="I263" s="2" t="s">
        <v>16</v>
      </c>
      <c r="J263" s="2" t="s">
        <v>699</v>
      </c>
      <c r="K263" s="2">
        <v>83.662879624986104</v>
      </c>
      <c r="L263" s="2">
        <v>85.042894916608901</v>
      </c>
      <c r="M263" s="2">
        <v>60.236291942824003</v>
      </c>
    </row>
    <row r="264" spans="1:13" x14ac:dyDescent="0.2">
      <c r="A264" s="2" t="s">
        <v>550</v>
      </c>
      <c r="B264" s="2">
        <v>63</v>
      </c>
      <c r="C264" s="2">
        <v>5</v>
      </c>
      <c r="D264" s="2">
        <v>1</v>
      </c>
      <c r="E264" s="2">
        <v>1</v>
      </c>
      <c r="F264" s="2">
        <v>1.41460687492508</v>
      </c>
      <c r="G264" s="2" t="s">
        <v>700</v>
      </c>
      <c r="H264" s="2" t="s">
        <v>537</v>
      </c>
      <c r="I264" s="2" t="s">
        <v>16</v>
      </c>
      <c r="J264" s="2" t="s">
        <v>701</v>
      </c>
      <c r="K264" s="2">
        <v>85.044817458372606</v>
      </c>
      <c r="L264" s="2">
        <v>86.459440125036096</v>
      </c>
      <c r="M264" s="2">
        <v>60.236291942824003</v>
      </c>
    </row>
    <row r="265" spans="1:13" x14ac:dyDescent="0.2">
      <c r="A265" s="2" t="s">
        <v>550</v>
      </c>
      <c r="B265" s="2">
        <v>64</v>
      </c>
      <c r="C265" s="2">
        <v>10</v>
      </c>
      <c r="D265" s="2">
        <v>1</v>
      </c>
      <c r="E265" s="2">
        <v>1</v>
      </c>
      <c r="F265" s="2">
        <v>1.2132296250201799</v>
      </c>
      <c r="G265" s="2" t="s">
        <v>288</v>
      </c>
      <c r="H265" s="2" t="s">
        <v>164</v>
      </c>
      <c r="I265" s="2" t="s">
        <v>16</v>
      </c>
      <c r="J265" s="2" t="s">
        <v>702</v>
      </c>
      <c r="K265" s="2">
        <v>86.4630380416056</v>
      </c>
      <c r="L265" s="2">
        <v>87.676279541687094</v>
      </c>
      <c r="M265" s="2">
        <v>60.236291942824003</v>
      </c>
    </row>
    <row r="266" spans="1:13" x14ac:dyDescent="0.2">
      <c r="A266" s="2" t="s">
        <v>550</v>
      </c>
      <c r="B266" s="2">
        <v>65</v>
      </c>
      <c r="C266" s="2">
        <v>10</v>
      </c>
      <c r="D266" s="2">
        <v>1</v>
      </c>
      <c r="E266" s="2">
        <v>1</v>
      </c>
      <c r="F266" s="2">
        <v>1.12939087499399</v>
      </c>
      <c r="G266" s="2" t="s">
        <v>703</v>
      </c>
      <c r="H266" s="2" t="s">
        <v>704</v>
      </c>
      <c r="I266" s="2" t="s">
        <v>16</v>
      </c>
      <c r="J266" s="2" t="s">
        <v>705</v>
      </c>
      <c r="K266" s="2">
        <v>87.679835375049194</v>
      </c>
      <c r="L266" s="2">
        <v>88.809239208348998</v>
      </c>
      <c r="M266" s="2">
        <v>60.236291942824003</v>
      </c>
    </row>
    <row r="267" spans="1:13" x14ac:dyDescent="0.2">
      <c r="A267" s="2" t="s">
        <v>550</v>
      </c>
      <c r="B267" s="2">
        <v>66</v>
      </c>
      <c r="C267" s="2">
        <v>5</v>
      </c>
      <c r="D267" s="2">
        <v>1</v>
      </c>
      <c r="E267" s="2">
        <v>1</v>
      </c>
      <c r="F267" s="2">
        <v>1.5816286667250099</v>
      </c>
      <c r="G267" s="2" t="s">
        <v>706</v>
      </c>
      <c r="H267" s="2" t="s">
        <v>34</v>
      </c>
      <c r="I267" s="2" t="s">
        <v>16</v>
      </c>
      <c r="J267" s="2" t="s">
        <v>707</v>
      </c>
      <c r="K267" s="2">
        <v>88.811141291633305</v>
      </c>
      <c r="L267" s="2">
        <v>90.392784000025102</v>
      </c>
      <c r="M267" s="2">
        <v>60.236291942824003</v>
      </c>
    </row>
    <row r="268" spans="1:13" x14ac:dyDescent="0.2">
      <c r="A268" s="2" t="s">
        <v>550</v>
      </c>
      <c r="B268" s="2">
        <v>67</v>
      </c>
      <c r="C268" s="2">
        <v>10</v>
      </c>
      <c r="D268" s="2">
        <v>1</v>
      </c>
      <c r="E268" s="2">
        <v>1</v>
      </c>
      <c r="F268" s="2">
        <v>1.4797635832801499</v>
      </c>
      <c r="G268" s="2" t="s">
        <v>708</v>
      </c>
      <c r="H268" s="2" t="s">
        <v>709</v>
      </c>
      <c r="I268" s="2" t="s">
        <v>16</v>
      </c>
      <c r="J268" s="2" t="s">
        <v>710</v>
      </c>
      <c r="K268" s="2">
        <v>90.396401874953895</v>
      </c>
      <c r="L268" s="2">
        <v>91.876178333303002</v>
      </c>
      <c r="M268" s="2">
        <v>60.236291942824003</v>
      </c>
    </row>
    <row r="269" spans="1:13" x14ac:dyDescent="0.2">
      <c r="A269" s="2" t="s">
        <v>550</v>
      </c>
      <c r="B269" s="2">
        <v>68</v>
      </c>
      <c r="C269" s="2">
        <v>5</v>
      </c>
      <c r="D269" s="2">
        <v>1</v>
      </c>
      <c r="E269" s="2">
        <v>1</v>
      </c>
      <c r="F269" s="2">
        <v>1.2645343750482401</v>
      </c>
      <c r="G269" s="2" t="s">
        <v>218</v>
      </c>
      <c r="H269" s="2" t="s">
        <v>179</v>
      </c>
      <c r="I269" s="2" t="s">
        <v>16</v>
      </c>
      <c r="J269" s="2" t="s">
        <v>711</v>
      </c>
      <c r="K269" s="2">
        <v>91.878025291604004</v>
      </c>
      <c r="L269" s="2">
        <v>93.142574583296707</v>
      </c>
      <c r="M269" s="2">
        <v>60.236291942824003</v>
      </c>
    </row>
    <row r="270" spans="1:13" x14ac:dyDescent="0.2">
      <c r="A270" s="2" t="s">
        <v>550</v>
      </c>
      <c r="B270" s="2">
        <v>69</v>
      </c>
      <c r="C270" s="2">
        <v>10</v>
      </c>
      <c r="D270" s="2">
        <v>1</v>
      </c>
      <c r="E270" s="2">
        <v>1</v>
      </c>
      <c r="F270" s="2">
        <v>2.3298118333332201</v>
      </c>
      <c r="G270" s="2" t="s">
        <v>712</v>
      </c>
      <c r="H270" s="2" t="s">
        <v>142</v>
      </c>
      <c r="I270" s="2" t="s">
        <v>16</v>
      </c>
      <c r="J270" s="2" t="s">
        <v>713</v>
      </c>
      <c r="K270" s="2">
        <v>93.146236374974194</v>
      </c>
      <c r="L270" s="2">
        <v>95.476062624948099</v>
      </c>
      <c r="M270" s="2">
        <v>60.236291942824003</v>
      </c>
    </row>
    <row r="271" spans="1:13" x14ac:dyDescent="0.2">
      <c r="A271" s="2" t="s">
        <v>550</v>
      </c>
      <c r="B271" s="2">
        <v>70</v>
      </c>
      <c r="C271" s="2">
        <v>10</v>
      </c>
      <c r="D271" s="2">
        <v>1</v>
      </c>
      <c r="E271" s="2">
        <v>1</v>
      </c>
      <c r="F271" s="2">
        <v>1.44632512505632</v>
      </c>
      <c r="G271" s="2" t="s">
        <v>102</v>
      </c>
      <c r="H271" s="2" t="s">
        <v>73</v>
      </c>
      <c r="I271" s="2" t="s">
        <v>16</v>
      </c>
      <c r="J271" s="2" t="s">
        <v>714</v>
      </c>
      <c r="K271" s="2">
        <v>95.4797385833226</v>
      </c>
      <c r="L271" s="2">
        <v>96.9260801667115</v>
      </c>
      <c r="M271" s="2">
        <v>60.236291942824003</v>
      </c>
    </row>
    <row r="272" spans="1:13" x14ac:dyDescent="0.2">
      <c r="A272" s="2" t="s">
        <v>550</v>
      </c>
      <c r="B272" s="2">
        <v>71</v>
      </c>
      <c r="C272" s="2">
        <v>10</v>
      </c>
      <c r="D272" s="2">
        <v>1</v>
      </c>
      <c r="E272" s="2">
        <v>1</v>
      </c>
      <c r="F272" s="2">
        <v>1.8296251250430899</v>
      </c>
      <c r="G272" s="2" t="s">
        <v>715</v>
      </c>
      <c r="H272" s="2" t="s">
        <v>716</v>
      </c>
      <c r="I272" s="2" t="s">
        <v>16</v>
      </c>
      <c r="J272" s="2" t="s">
        <v>717</v>
      </c>
      <c r="K272" s="2">
        <v>96.929708875017198</v>
      </c>
      <c r="L272" s="2">
        <v>98.759348791674697</v>
      </c>
      <c r="M272" s="2">
        <v>60.236291942824003</v>
      </c>
    </row>
    <row r="273" spans="1:13" x14ac:dyDescent="0.2">
      <c r="A273" s="2" t="s">
        <v>550</v>
      </c>
      <c r="B273" s="2">
        <v>72</v>
      </c>
      <c r="C273" s="2">
        <v>10</v>
      </c>
      <c r="D273" s="2">
        <v>1</v>
      </c>
      <c r="E273" s="2">
        <v>1</v>
      </c>
      <c r="F273" s="2">
        <v>1.3961738334037399</v>
      </c>
      <c r="G273" s="2" t="s">
        <v>508</v>
      </c>
      <c r="H273" s="2" t="s">
        <v>718</v>
      </c>
      <c r="I273" s="2" t="s">
        <v>16</v>
      </c>
      <c r="J273" s="2" t="s">
        <v>719</v>
      </c>
      <c r="K273" s="2">
        <v>98.762935791630298</v>
      </c>
      <c r="L273" s="2">
        <v>100.159123916645</v>
      </c>
      <c r="M273" s="2">
        <v>60.236291942824003</v>
      </c>
    </row>
    <row r="274" spans="1:13" x14ac:dyDescent="0.2">
      <c r="A274" s="2" t="s">
        <v>550</v>
      </c>
      <c r="B274" s="2">
        <v>73</v>
      </c>
      <c r="C274" s="2">
        <v>10</v>
      </c>
      <c r="D274" s="2">
        <v>1</v>
      </c>
      <c r="E274" s="2">
        <v>1</v>
      </c>
      <c r="F274" s="2">
        <v>3.0633905000286199</v>
      </c>
      <c r="G274" s="2" t="s">
        <v>720</v>
      </c>
      <c r="H274" s="2" t="s">
        <v>721</v>
      </c>
      <c r="I274" s="2" t="s">
        <v>16</v>
      </c>
      <c r="J274" s="2" t="s">
        <v>722</v>
      </c>
      <c r="K274" s="2">
        <v>100.162651750026</v>
      </c>
      <c r="L274" s="2">
        <v>103.22605683328599</v>
      </c>
      <c r="M274" s="2">
        <v>60.236291942824003</v>
      </c>
    </row>
    <row r="275" spans="1:13" x14ac:dyDescent="0.2">
      <c r="A275" s="2" t="s">
        <v>550</v>
      </c>
      <c r="B275" s="2">
        <v>74</v>
      </c>
      <c r="C275" s="2">
        <v>10</v>
      </c>
      <c r="D275" s="2">
        <v>1</v>
      </c>
      <c r="E275" s="2">
        <v>1</v>
      </c>
      <c r="F275" s="2">
        <v>1.7796837083296899</v>
      </c>
      <c r="G275" s="2" t="s">
        <v>723</v>
      </c>
      <c r="H275" s="2" t="s">
        <v>724</v>
      </c>
      <c r="I275" s="2" t="s">
        <v>16</v>
      </c>
      <c r="J275" s="2" t="s">
        <v>725</v>
      </c>
      <c r="K275" s="2">
        <v>103.229638749966</v>
      </c>
      <c r="L275" s="2">
        <v>105.00933812500401</v>
      </c>
      <c r="M275" s="2">
        <v>60.236291942824003</v>
      </c>
    </row>
    <row r="276" spans="1:13" x14ac:dyDescent="0.2">
      <c r="A276" s="2" t="s">
        <v>550</v>
      </c>
      <c r="B276" s="2">
        <v>75</v>
      </c>
      <c r="C276" s="2">
        <v>5</v>
      </c>
      <c r="D276" s="2">
        <v>1</v>
      </c>
      <c r="E276" s="2">
        <v>1</v>
      </c>
      <c r="F276" s="2">
        <v>1.08119479171</v>
      </c>
      <c r="G276" s="2" t="s">
        <v>726</v>
      </c>
      <c r="H276" s="2" t="s">
        <v>251</v>
      </c>
      <c r="I276" s="2" t="s">
        <v>16</v>
      </c>
      <c r="J276" s="2" t="s">
        <v>727</v>
      </c>
      <c r="K276" s="2">
        <v>105.01134158333301</v>
      </c>
      <c r="L276" s="2">
        <v>106.092551333364</v>
      </c>
      <c r="M276" s="2">
        <v>60.236291942824003</v>
      </c>
    </row>
    <row r="277" spans="1:13" x14ac:dyDescent="0.2">
      <c r="A277" s="2" t="s">
        <v>550</v>
      </c>
      <c r="B277" s="2">
        <v>76</v>
      </c>
      <c r="C277" s="2">
        <v>5</v>
      </c>
      <c r="D277" s="2">
        <v>2</v>
      </c>
      <c r="E277" s="2">
        <v>0</v>
      </c>
      <c r="F277" s="2">
        <v>2.0646315000485602</v>
      </c>
      <c r="G277" s="2" t="s">
        <v>728</v>
      </c>
      <c r="H277" s="2" t="s">
        <v>729</v>
      </c>
      <c r="I277" s="2" t="s">
        <v>23</v>
      </c>
      <c r="J277" s="2" t="s">
        <v>730</v>
      </c>
      <c r="K277" s="2">
        <v>106.094531791634</v>
      </c>
      <c r="L277" s="2">
        <v>108.15917695837599</v>
      </c>
      <c r="M277" s="2">
        <v>60.236291942824003</v>
      </c>
    </row>
    <row r="278" spans="1:13" x14ac:dyDescent="0.2">
      <c r="A278" s="2" t="s">
        <v>550</v>
      </c>
      <c r="B278" s="2">
        <v>77</v>
      </c>
      <c r="C278" s="2">
        <v>10</v>
      </c>
      <c r="D278" s="2">
        <v>1</v>
      </c>
      <c r="E278" s="2">
        <v>1</v>
      </c>
      <c r="F278" s="2">
        <v>1.8466019583866</v>
      </c>
      <c r="G278" s="2" t="s">
        <v>731</v>
      </c>
      <c r="H278" s="2" t="s">
        <v>732</v>
      </c>
      <c r="I278" s="2" t="s">
        <v>16</v>
      </c>
      <c r="J278" s="2" t="s">
        <v>733</v>
      </c>
      <c r="K278" s="2">
        <v>108.162691166624</v>
      </c>
      <c r="L278" s="2">
        <v>110.009306624997</v>
      </c>
      <c r="M278" s="2">
        <v>60.236291942824003</v>
      </c>
    </row>
    <row r="279" spans="1:13" x14ac:dyDescent="0.2">
      <c r="A279" s="2" t="s">
        <v>550</v>
      </c>
      <c r="B279" s="2">
        <v>78</v>
      </c>
      <c r="C279" s="2">
        <v>10</v>
      </c>
      <c r="D279" s="2">
        <v>1</v>
      </c>
      <c r="E279" s="2">
        <v>1</v>
      </c>
      <c r="F279" s="2">
        <v>1.1297588750021501</v>
      </c>
      <c r="G279" s="2" t="s">
        <v>734</v>
      </c>
      <c r="H279" s="2" t="s">
        <v>199</v>
      </c>
      <c r="I279" s="2" t="s">
        <v>16</v>
      </c>
      <c r="J279" s="2" t="s">
        <v>735</v>
      </c>
      <c r="K279" s="2">
        <v>110.012814416667</v>
      </c>
      <c r="L279" s="2">
        <v>111.14258883334701</v>
      </c>
      <c r="M279" s="2">
        <v>60.236291942824003</v>
      </c>
    </row>
    <row r="280" spans="1:13" x14ac:dyDescent="0.2">
      <c r="A280" s="2" t="s">
        <v>550</v>
      </c>
      <c r="B280" s="2">
        <v>79</v>
      </c>
      <c r="C280" s="2">
        <v>10</v>
      </c>
      <c r="D280" s="2">
        <v>1</v>
      </c>
      <c r="E280" s="2">
        <v>1</v>
      </c>
      <c r="F280" s="2">
        <v>1.09651854168624</v>
      </c>
      <c r="G280" s="2" t="s">
        <v>736</v>
      </c>
      <c r="H280" s="2" t="s">
        <v>737</v>
      </c>
      <c r="I280" s="2" t="s">
        <v>16</v>
      </c>
      <c r="J280" s="2" t="s">
        <v>738</v>
      </c>
      <c r="K280" s="2">
        <v>111.146145125036</v>
      </c>
      <c r="L280" s="2">
        <v>112.24267779162599</v>
      </c>
      <c r="M280" s="2">
        <v>60.236291942824003</v>
      </c>
    </row>
    <row r="281" spans="1:13" x14ac:dyDescent="0.2">
      <c r="A281" s="2" t="s">
        <v>550</v>
      </c>
      <c r="B281" s="2">
        <v>80</v>
      </c>
      <c r="C281" s="2">
        <v>10</v>
      </c>
      <c r="D281" s="2">
        <v>1</v>
      </c>
      <c r="E281" s="2">
        <v>1</v>
      </c>
      <c r="F281" s="2">
        <v>2.94640225009061</v>
      </c>
      <c r="G281" s="2" t="s">
        <v>144</v>
      </c>
      <c r="H281" s="2" t="s">
        <v>97</v>
      </c>
      <c r="I281" s="2" t="s">
        <v>16</v>
      </c>
      <c r="J281" s="2" t="s">
        <v>739</v>
      </c>
      <c r="K281" s="2">
        <v>112.246264583315</v>
      </c>
      <c r="L281" s="2">
        <v>115.19268112501599</v>
      </c>
      <c r="M281" s="2">
        <v>60.236291942824003</v>
      </c>
    </row>
    <row r="282" spans="1:13" x14ac:dyDescent="0.2">
      <c r="A282" s="2" t="s">
        <v>550</v>
      </c>
      <c r="B282" s="2">
        <v>81</v>
      </c>
      <c r="C282" s="2">
        <v>10</v>
      </c>
      <c r="D282" s="2">
        <v>1</v>
      </c>
      <c r="E282" s="2">
        <v>1</v>
      </c>
      <c r="F282" s="2">
        <v>1.5299267499940501</v>
      </c>
      <c r="G282" s="2" t="s">
        <v>488</v>
      </c>
      <c r="H282" s="2" t="s">
        <v>387</v>
      </c>
      <c r="I282" s="2" t="s">
        <v>16</v>
      </c>
      <c r="J282" s="2" t="s">
        <v>740</v>
      </c>
      <c r="K282" s="2">
        <v>115.19622512499301</v>
      </c>
      <c r="L282" s="2">
        <v>116.726166541688</v>
      </c>
      <c r="M282" s="2">
        <v>60.236291942824003</v>
      </c>
    </row>
    <row r="283" spans="1:13" x14ac:dyDescent="0.2">
      <c r="A283" s="2" t="s">
        <v>550</v>
      </c>
      <c r="B283" s="2">
        <v>82</v>
      </c>
      <c r="C283" s="2">
        <v>10</v>
      </c>
      <c r="D283" s="2">
        <v>1</v>
      </c>
      <c r="E283" s="2">
        <v>1</v>
      </c>
      <c r="F283" s="2">
        <v>1.4797145833726999</v>
      </c>
      <c r="G283" s="2" t="s">
        <v>741</v>
      </c>
      <c r="H283" s="2" t="s">
        <v>742</v>
      </c>
      <c r="I283" s="2" t="s">
        <v>16</v>
      </c>
      <c r="J283" s="2" t="s">
        <v>743</v>
      </c>
      <c r="K283" s="2">
        <v>116.72971704171501</v>
      </c>
      <c r="L283" s="2">
        <v>118.209445083281</v>
      </c>
      <c r="M283" s="2">
        <v>60.236291942824003</v>
      </c>
    </row>
    <row r="284" spans="1:13" x14ac:dyDescent="0.2">
      <c r="A284" s="2" t="s">
        <v>550</v>
      </c>
      <c r="B284" s="2">
        <v>83</v>
      </c>
      <c r="C284" s="2">
        <v>5</v>
      </c>
      <c r="D284" s="2">
        <v>1</v>
      </c>
      <c r="E284" s="2">
        <v>1</v>
      </c>
      <c r="F284" s="2">
        <v>1.1647185833426199</v>
      </c>
      <c r="G284" s="2" t="s">
        <v>182</v>
      </c>
      <c r="H284" s="2" t="s">
        <v>532</v>
      </c>
      <c r="I284" s="2" t="s">
        <v>16</v>
      </c>
      <c r="J284" s="2" t="s">
        <v>744</v>
      </c>
      <c r="K284" s="2">
        <v>118.211340124952</v>
      </c>
      <c r="L284" s="2">
        <v>119.376072166604</v>
      </c>
      <c r="M284" s="2">
        <v>60.236291942824003</v>
      </c>
    </row>
    <row r="285" spans="1:13" x14ac:dyDescent="0.2">
      <c r="A285" s="2" t="s">
        <v>550</v>
      </c>
      <c r="B285" s="2">
        <v>84</v>
      </c>
      <c r="C285" s="2">
        <v>5</v>
      </c>
      <c r="D285" s="2">
        <v>1</v>
      </c>
      <c r="E285" s="2">
        <v>1</v>
      </c>
      <c r="F285" s="2">
        <v>1.0813027500407799</v>
      </c>
      <c r="G285" s="2" t="s">
        <v>454</v>
      </c>
      <c r="H285" s="2" t="s">
        <v>745</v>
      </c>
      <c r="I285" s="2" t="s">
        <v>16</v>
      </c>
      <c r="J285" s="2" t="s">
        <v>746</v>
      </c>
      <c r="K285" s="2">
        <v>119.377923916676</v>
      </c>
      <c r="L285" s="2">
        <v>120.45924037496999</v>
      </c>
      <c r="M285" s="2">
        <v>60.236291942824003</v>
      </c>
    </row>
    <row r="286" spans="1:13" x14ac:dyDescent="0.2">
      <c r="A286" s="2" t="s">
        <v>550</v>
      </c>
      <c r="B286" s="2">
        <v>85</v>
      </c>
      <c r="C286" s="2">
        <v>5</v>
      </c>
      <c r="D286" s="2">
        <v>1</v>
      </c>
      <c r="E286" s="2">
        <v>1</v>
      </c>
      <c r="F286" s="2">
        <v>1.2648723333841201</v>
      </c>
      <c r="G286" s="2" t="s">
        <v>747</v>
      </c>
      <c r="H286" s="2" t="s">
        <v>748</v>
      </c>
      <c r="I286" s="2" t="s">
        <v>16</v>
      </c>
      <c r="J286" s="2" t="s">
        <v>749</v>
      </c>
      <c r="K286" s="2">
        <v>120.461097333347</v>
      </c>
      <c r="L286" s="2">
        <v>121.72598508338</v>
      </c>
      <c r="M286" s="2">
        <v>60.236291942824003</v>
      </c>
    </row>
    <row r="287" spans="1:13" x14ac:dyDescent="0.2">
      <c r="A287" s="2" t="s">
        <v>550</v>
      </c>
      <c r="B287" s="2">
        <v>86</v>
      </c>
      <c r="C287" s="2">
        <v>5</v>
      </c>
      <c r="D287" s="2">
        <v>1</v>
      </c>
      <c r="E287" s="2">
        <v>1</v>
      </c>
      <c r="F287" s="2">
        <v>1.2645846667000999</v>
      </c>
      <c r="G287" s="2" t="s">
        <v>750</v>
      </c>
      <c r="H287" s="2" t="s">
        <v>751</v>
      </c>
      <c r="I287" s="2" t="s">
        <v>16</v>
      </c>
      <c r="J287" s="2" t="s">
        <v>752</v>
      </c>
      <c r="K287" s="2">
        <v>121.727998625021</v>
      </c>
      <c r="L287" s="2">
        <v>122.992603874998</v>
      </c>
      <c r="M287" s="2">
        <v>60.236291942824003</v>
      </c>
    </row>
    <row r="288" spans="1:13" x14ac:dyDescent="0.2">
      <c r="A288" s="2" t="s">
        <v>550</v>
      </c>
      <c r="B288" s="2">
        <v>87</v>
      </c>
      <c r="C288" s="2">
        <v>10</v>
      </c>
      <c r="D288" s="2">
        <v>1</v>
      </c>
      <c r="E288" s="2">
        <v>1</v>
      </c>
      <c r="F288" s="2">
        <v>1.5465812083566599</v>
      </c>
      <c r="G288" s="2" t="s">
        <v>129</v>
      </c>
      <c r="H288" s="2" t="s">
        <v>753</v>
      </c>
      <c r="I288" s="2" t="s">
        <v>16</v>
      </c>
      <c r="J288" s="2" t="s">
        <v>754</v>
      </c>
      <c r="K288" s="2">
        <v>122.996068416629</v>
      </c>
      <c r="L288" s="2">
        <v>124.542663791683</v>
      </c>
      <c r="M288" s="2">
        <v>60.236291942824003</v>
      </c>
    </row>
    <row r="289" spans="1:13" x14ac:dyDescent="0.2">
      <c r="A289" s="2" t="s">
        <v>550</v>
      </c>
      <c r="B289" s="2">
        <v>88</v>
      </c>
      <c r="C289" s="2">
        <v>10</v>
      </c>
      <c r="D289" s="2">
        <v>1</v>
      </c>
      <c r="E289" s="2">
        <v>1</v>
      </c>
      <c r="F289" s="2">
        <v>1.7631330416770701</v>
      </c>
      <c r="G289" s="2" t="s">
        <v>751</v>
      </c>
      <c r="H289" s="2" t="s">
        <v>638</v>
      </c>
      <c r="I289" s="2" t="s">
        <v>16</v>
      </c>
      <c r="J289" s="2" t="s">
        <v>755</v>
      </c>
      <c r="K289" s="2">
        <v>124.546184583334</v>
      </c>
      <c r="L289" s="2">
        <v>126.309333291603</v>
      </c>
      <c r="M289" s="2">
        <v>60.236291942824003</v>
      </c>
    </row>
    <row r="290" spans="1:13" x14ac:dyDescent="0.2">
      <c r="A290" s="2" t="s">
        <v>550</v>
      </c>
      <c r="B290" s="2">
        <v>89</v>
      </c>
      <c r="C290" s="2">
        <v>5</v>
      </c>
      <c r="D290" s="2">
        <v>1</v>
      </c>
      <c r="E290" s="2">
        <v>1</v>
      </c>
      <c r="F290" s="2">
        <v>1.8982751250732699</v>
      </c>
      <c r="G290" s="2" t="s">
        <v>296</v>
      </c>
      <c r="H290" s="2" t="s">
        <v>756</v>
      </c>
      <c r="I290" s="2" t="s">
        <v>16</v>
      </c>
      <c r="J290" s="2" t="s">
        <v>757</v>
      </c>
      <c r="K290" s="2">
        <v>126.31131083331999</v>
      </c>
      <c r="L290" s="2">
        <v>128.20961720834001</v>
      </c>
      <c r="M290" s="2">
        <v>60.236291942824003</v>
      </c>
    </row>
    <row r="291" spans="1:13" x14ac:dyDescent="0.2">
      <c r="A291" s="2" t="s">
        <v>550</v>
      </c>
      <c r="B291" s="2">
        <v>90</v>
      </c>
      <c r="C291" s="2">
        <v>5</v>
      </c>
      <c r="D291" s="2">
        <v>1</v>
      </c>
      <c r="E291" s="2">
        <v>1</v>
      </c>
      <c r="F291" s="2">
        <v>1.04740212496836</v>
      </c>
      <c r="G291" s="2" t="s">
        <v>758</v>
      </c>
      <c r="H291" s="2" t="s">
        <v>759</v>
      </c>
      <c r="I291" s="2" t="s">
        <v>16</v>
      </c>
      <c r="J291" s="2" t="s">
        <v>760</v>
      </c>
      <c r="K291" s="2">
        <v>128.21188650000801</v>
      </c>
      <c r="L291" s="2">
        <v>129.259311333299</v>
      </c>
      <c r="M291" s="2">
        <v>60.236291942824003</v>
      </c>
    </row>
    <row r="292" spans="1:13" x14ac:dyDescent="0.2">
      <c r="A292" s="2" t="s">
        <v>550</v>
      </c>
      <c r="B292" s="2">
        <v>91</v>
      </c>
      <c r="C292" s="2">
        <v>10</v>
      </c>
      <c r="D292" s="2">
        <v>1</v>
      </c>
      <c r="E292" s="2">
        <v>1</v>
      </c>
      <c r="F292" s="2">
        <v>1.3462733749765901</v>
      </c>
      <c r="G292" s="2" t="s">
        <v>166</v>
      </c>
      <c r="H292" s="2" t="s">
        <v>187</v>
      </c>
      <c r="I292" s="2" t="s">
        <v>16</v>
      </c>
      <c r="J292" s="2" t="s">
        <v>761</v>
      </c>
      <c r="K292" s="2">
        <v>129.262927708332</v>
      </c>
      <c r="L292" s="2">
        <v>130.60921558330301</v>
      </c>
      <c r="M292" s="2">
        <v>60.236291942824003</v>
      </c>
    </row>
    <row r="293" spans="1:13" x14ac:dyDescent="0.2">
      <c r="A293" s="2" t="s">
        <v>550</v>
      </c>
      <c r="B293" s="2">
        <v>92</v>
      </c>
      <c r="C293" s="2">
        <v>5</v>
      </c>
      <c r="D293" s="2">
        <v>1</v>
      </c>
      <c r="E293" s="2">
        <v>1</v>
      </c>
      <c r="F293" s="2">
        <v>1.3480813750065901</v>
      </c>
      <c r="G293" s="2" t="s">
        <v>762</v>
      </c>
      <c r="H293" s="2" t="s">
        <v>178</v>
      </c>
      <c r="I293" s="2" t="s">
        <v>16</v>
      </c>
      <c r="J293" s="2" t="s">
        <v>763</v>
      </c>
      <c r="K293" s="2">
        <v>130.61119312502001</v>
      </c>
      <c r="L293" s="2">
        <v>131.95929000002801</v>
      </c>
      <c r="M293" s="2">
        <v>60.236291942824003</v>
      </c>
    </row>
    <row r="294" spans="1:13" x14ac:dyDescent="0.2">
      <c r="A294" s="2" t="s">
        <v>550</v>
      </c>
      <c r="B294" s="2">
        <v>93</v>
      </c>
      <c r="C294" s="2">
        <v>5</v>
      </c>
      <c r="D294" s="2">
        <v>1</v>
      </c>
      <c r="E294" s="2">
        <v>1</v>
      </c>
      <c r="F294" s="2">
        <v>1.43108858342748</v>
      </c>
      <c r="G294" s="2" t="s">
        <v>764</v>
      </c>
      <c r="H294" s="2" t="s">
        <v>765</v>
      </c>
      <c r="I294" s="2" t="s">
        <v>16</v>
      </c>
      <c r="J294" s="2" t="s">
        <v>766</v>
      </c>
      <c r="K294" s="2">
        <v>131.96131008327899</v>
      </c>
      <c r="L294" s="2">
        <v>133.39241287496401</v>
      </c>
      <c r="M294" s="2">
        <v>60.236291942824003</v>
      </c>
    </row>
    <row r="295" spans="1:13" x14ac:dyDescent="0.2">
      <c r="A295" s="2" t="s">
        <v>550</v>
      </c>
      <c r="B295" s="2">
        <v>94</v>
      </c>
      <c r="C295" s="2">
        <v>5</v>
      </c>
      <c r="D295" s="2">
        <v>2</v>
      </c>
      <c r="E295" s="2">
        <v>0</v>
      </c>
      <c r="F295" s="2">
        <v>1.59781091671903</v>
      </c>
      <c r="G295" s="2" t="s">
        <v>767</v>
      </c>
      <c r="H295" s="2" t="s">
        <v>768</v>
      </c>
      <c r="I295" s="2" t="s">
        <v>23</v>
      </c>
      <c r="J295" s="2" t="s">
        <v>769</v>
      </c>
      <c r="K295" s="2">
        <v>133.39432149997501</v>
      </c>
      <c r="L295" s="2">
        <v>134.992144333315</v>
      </c>
      <c r="M295" s="2">
        <v>60.236291942824003</v>
      </c>
    </row>
    <row r="296" spans="1:13" x14ac:dyDescent="0.2">
      <c r="A296" s="2" t="s">
        <v>550</v>
      </c>
      <c r="B296" s="2">
        <v>95</v>
      </c>
      <c r="C296" s="2">
        <v>5</v>
      </c>
      <c r="D296" s="2">
        <v>1</v>
      </c>
      <c r="E296" s="2">
        <v>1</v>
      </c>
      <c r="F296" s="2">
        <v>1.28183833335061</v>
      </c>
      <c r="G296" s="2" t="s">
        <v>770</v>
      </c>
      <c r="H296" s="2" t="s">
        <v>764</v>
      </c>
      <c r="I296" s="2" t="s">
        <v>16</v>
      </c>
      <c r="J296" s="2" t="s">
        <v>771</v>
      </c>
      <c r="K296" s="2">
        <v>134.994092083303</v>
      </c>
      <c r="L296" s="2">
        <v>136.27595304162199</v>
      </c>
      <c r="M296" s="2">
        <v>60.236291942824003</v>
      </c>
    </row>
    <row r="297" spans="1:13" x14ac:dyDescent="0.2">
      <c r="A297" s="2" t="s">
        <v>550</v>
      </c>
      <c r="B297" s="2">
        <v>96</v>
      </c>
      <c r="C297" s="2">
        <v>5</v>
      </c>
      <c r="D297" s="2">
        <v>1</v>
      </c>
      <c r="E297" s="2">
        <v>1</v>
      </c>
      <c r="F297" s="2">
        <v>1.38125941669568</v>
      </c>
      <c r="G297" s="2" t="s">
        <v>772</v>
      </c>
      <c r="H297" s="2" t="s">
        <v>528</v>
      </c>
      <c r="I297" s="2" t="s">
        <v>16</v>
      </c>
      <c r="J297" s="2" t="s">
        <v>773</v>
      </c>
      <c r="K297" s="2">
        <v>136.27794620837099</v>
      </c>
      <c r="L297" s="2">
        <v>137.65921970829399</v>
      </c>
      <c r="M297" s="2">
        <v>60.236291942824003</v>
      </c>
    </row>
    <row r="298" spans="1:13" x14ac:dyDescent="0.2">
      <c r="A298" s="2" t="s">
        <v>550</v>
      </c>
      <c r="B298" s="2">
        <v>97</v>
      </c>
      <c r="C298" s="2">
        <v>5</v>
      </c>
      <c r="D298" s="2">
        <v>1</v>
      </c>
      <c r="E298" s="2">
        <v>1</v>
      </c>
      <c r="F298" s="2">
        <v>0.93134875001851503</v>
      </c>
      <c r="G298" s="2" t="s">
        <v>254</v>
      </c>
      <c r="H298" s="2" t="s">
        <v>774</v>
      </c>
      <c r="I298" s="2" t="s">
        <v>16</v>
      </c>
      <c r="J298" s="2" t="s">
        <v>775</v>
      </c>
      <c r="K298" s="2">
        <v>137.66109795833501</v>
      </c>
      <c r="L298" s="2">
        <v>138.59245754161401</v>
      </c>
      <c r="M298" s="2">
        <v>60.236291942824003</v>
      </c>
    </row>
    <row r="299" spans="1:13" x14ac:dyDescent="0.2">
      <c r="A299" s="2" t="s">
        <v>550</v>
      </c>
      <c r="B299" s="2">
        <v>98</v>
      </c>
      <c r="C299" s="2">
        <v>10</v>
      </c>
      <c r="D299" s="2">
        <v>1</v>
      </c>
      <c r="E299" s="2">
        <v>1</v>
      </c>
      <c r="F299" s="2">
        <v>0.99664500006474599</v>
      </c>
      <c r="G299" s="2" t="s">
        <v>423</v>
      </c>
      <c r="H299" s="2" t="s">
        <v>633</v>
      </c>
      <c r="I299" s="2" t="s">
        <v>16</v>
      </c>
      <c r="J299" s="2" t="s">
        <v>776</v>
      </c>
      <c r="K299" s="2">
        <v>138.59593429160299</v>
      </c>
      <c r="L299" s="2">
        <v>139.592590791639</v>
      </c>
      <c r="M299" s="2">
        <v>60.236291942824003</v>
      </c>
    </row>
    <row r="300" spans="1:13" x14ac:dyDescent="0.2">
      <c r="A300" s="2" t="s">
        <v>550</v>
      </c>
      <c r="B300" s="2">
        <v>99</v>
      </c>
      <c r="C300" s="2">
        <v>5</v>
      </c>
      <c r="D300" s="2">
        <v>1</v>
      </c>
      <c r="E300" s="2">
        <v>1</v>
      </c>
      <c r="F300" s="2">
        <v>1.69800245831721</v>
      </c>
      <c r="G300" s="2" t="s">
        <v>528</v>
      </c>
      <c r="H300" s="2" t="s">
        <v>777</v>
      </c>
      <c r="I300" s="2" t="s">
        <v>16</v>
      </c>
      <c r="J300" s="2" t="s">
        <v>778</v>
      </c>
      <c r="K300" s="2">
        <v>139.59456062503199</v>
      </c>
      <c r="L300" s="2">
        <v>141.29258041665901</v>
      </c>
      <c r="M300" s="2">
        <v>60.236291942824003</v>
      </c>
    </row>
    <row r="301" spans="1:13" x14ac:dyDescent="0.2">
      <c r="A301" s="2" t="s">
        <v>550</v>
      </c>
      <c r="B301" s="2">
        <v>100</v>
      </c>
      <c r="C301" s="2">
        <v>10</v>
      </c>
      <c r="D301" s="2">
        <v>1</v>
      </c>
      <c r="E301" s="2">
        <v>1</v>
      </c>
      <c r="F301" s="2">
        <v>1.24617216666229</v>
      </c>
      <c r="G301" s="2" t="s">
        <v>70</v>
      </c>
      <c r="H301" s="2" t="s">
        <v>409</v>
      </c>
      <c r="I301" s="2" t="s">
        <v>16</v>
      </c>
      <c r="J301" s="2" t="s">
        <v>779</v>
      </c>
      <c r="K301" s="2">
        <v>141.29626274993601</v>
      </c>
      <c r="L301" s="2">
        <v>142.54244887502901</v>
      </c>
      <c r="M301" s="2">
        <v>60.236291942824003</v>
      </c>
    </row>
    <row r="302" spans="1:13" x14ac:dyDescent="0.2">
      <c r="A302" s="2" t="s">
        <v>550</v>
      </c>
      <c r="B302" s="2">
        <v>101</v>
      </c>
      <c r="C302" s="2">
        <v>5</v>
      </c>
      <c r="D302" s="2">
        <v>1</v>
      </c>
      <c r="E302" s="2">
        <v>1</v>
      </c>
      <c r="F302" s="2">
        <v>1.7813625000417199</v>
      </c>
      <c r="G302" s="2" t="s">
        <v>780</v>
      </c>
      <c r="H302" s="2" t="s">
        <v>15</v>
      </c>
      <c r="I302" s="2" t="s">
        <v>16</v>
      </c>
      <c r="J302" s="2" t="s">
        <v>781</v>
      </c>
      <c r="K302" s="2">
        <v>142.54435149999301</v>
      </c>
      <c r="L302" s="2">
        <v>144.32573033333799</v>
      </c>
      <c r="M302" s="2">
        <v>60.236291942824003</v>
      </c>
    </row>
    <row r="303" spans="1:13" x14ac:dyDescent="0.2">
      <c r="A303" s="2" t="s">
        <v>550</v>
      </c>
      <c r="B303" s="2">
        <v>102</v>
      </c>
      <c r="C303" s="2">
        <v>5</v>
      </c>
      <c r="D303" s="2">
        <v>1</v>
      </c>
      <c r="E303" s="2">
        <v>1</v>
      </c>
      <c r="F303" s="2">
        <v>1.2148060833569601</v>
      </c>
      <c r="G303" s="2" t="s">
        <v>782</v>
      </c>
      <c r="H303" s="2" t="s">
        <v>783</v>
      </c>
      <c r="I303" s="2" t="s">
        <v>16</v>
      </c>
      <c r="J303" s="2" t="s">
        <v>784</v>
      </c>
      <c r="K303" s="2">
        <v>144.32769591664001</v>
      </c>
      <c r="L303" s="2">
        <v>145.54251604166399</v>
      </c>
      <c r="M303" s="2">
        <v>60.236291942824003</v>
      </c>
    </row>
    <row r="304" spans="1:13" x14ac:dyDescent="0.2">
      <c r="A304" s="2" t="s">
        <v>550</v>
      </c>
      <c r="B304" s="2">
        <v>103</v>
      </c>
      <c r="C304" s="2">
        <v>10</v>
      </c>
      <c r="D304" s="2">
        <v>1</v>
      </c>
      <c r="E304" s="2">
        <v>1</v>
      </c>
      <c r="F304" s="2">
        <v>1.16324170830194</v>
      </c>
      <c r="G304" s="2" t="s">
        <v>589</v>
      </c>
      <c r="H304" s="2" t="s">
        <v>565</v>
      </c>
      <c r="I304" s="2" t="s">
        <v>16</v>
      </c>
      <c r="J304" s="2" t="s">
        <v>785</v>
      </c>
      <c r="K304" s="2">
        <v>145.54602400003901</v>
      </c>
      <c r="L304" s="2">
        <v>146.709281999967</v>
      </c>
      <c r="M304" s="2">
        <v>60.236291942824003</v>
      </c>
    </row>
    <row r="305" spans="1:13" x14ac:dyDescent="0.2">
      <c r="A305" s="2" t="s">
        <v>550</v>
      </c>
      <c r="B305" s="2">
        <v>104</v>
      </c>
      <c r="C305" s="2">
        <v>5</v>
      </c>
      <c r="D305" s="2">
        <v>1</v>
      </c>
      <c r="E305" s="2">
        <v>1</v>
      </c>
      <c r="F305" s="2">
        <v>1.1977810000535101</v>
      </c>
      <c r="G305" s="2" t="s">
        <v>786</v>
      </c>
      <c r="H305" s="2" t="s">
        <v>787</v>
      </c>
      <c r="I305" s="2" t="s">
        <v>16</v>
      </c>
      <c r="J305" s="2" t="s">
        <v>788</v>
      </c>
      <c r="K305" s="2">
        <v>146.711419166648</v>
      </c>
      <c r="L305" s="2">
        <v>147.90921554167301</v>
      </c>
      <c r="M305" s="2">
        <v>60.236291942824003</v>
      </c>
    </row>
    <row r="306" spans="1:13" x14ac:dyDescent="0.2">
      <c r="A306" s="2" t="s">
        <v>550</v>
      </c>
      <c r="B306" s="2">
        <v>105</v>
      </c>
      <c r="C306" s="2">
        <v>5</v>
      </c>
      <c r="D306" s="2">
        <v>1</v>
      </c>
      <c r="E306" s="2">
        <v>1</v>
      </c>
      <c r="F306" s="2">
        <v>1.0646469166968</v>
      </c>
      <c r="G306" s="2" t="s">
        <v>789</v>
      </c>
      <c r="H306" s="2" t="s">
        <v>790</v>
      </c>
      <c r="I306" s="2" t="s">
        <v>16</v>
      </c>
      <c r="J306" s="2" t="s">
        <v>791</v>
      </c>
      <c r="K306" s="2">
        <v>147.91118758334801</v>
      </c>
      <c r="L306" s="2">
        <v>148.97584874997901</v>
      </c>
      <c r="M306" s="2">
        <v>60.236291942824003</v>
      </c>
    </row>
    <row r="307" spans="1:13" x14ac:dyDescent="0.2">
      <c r="A307" s="2" t="s">
        <v>550</v>
      </c>
      <c r="B307" s="2">
        <v>106</v>
      </c>
      <c r="C307" s="2">
        <v>10</v>
      </c>
      <c r="D307" s="2">
        <v>1</v>
      </c>
      <c r="E307" s="2">
        <v>1</v>
      </c>
      <c r="F307" s="2">
        <v>1.4462317499565001</v>
      </c>
      <c r="G307" s="2" t="s">
        <v>792</v>
      </c>
      <c r="H307" s="2" t="s">
        <v>793</v>
      </c>
      <c r="I307" s="2" t="s">
        <v>16</v>
      </c>
      <c r="J307" s="2" t="s">
        <v>794</v>
      </c>
      <c r="K307" s="2">
        <v>148.97952320834199</v>
      </c>
      <c r="L307" s="2">
        <v>150.42576766665999</v>
      </c>
      <c r="M307" s="2">
        <v>60.236291942824003</v>
      </c>
    </row>
    <row r="308" spans="1:13" x14ac:dyDescent="0.2">
      <c r="A308" s="2" t="s">
        <v>550</v>
      </c>
      <c r="B308" s="2">
        <v>107</v>
      </c>
      <c r="C308" s="2">
        <v>5</v>
      </c>
      <c r="D308" s="2">
        <v>1</v>
      </c>
      <c r="E308" s="2">
        <v>1</v>
      </c>
      <c r="F308" s="2">
        <v>1.3648479999974401</v>
      </c>
      <c r="G308" s="2" t="s">
        <v>218</v>
      </c>
      <c r="H308" s="2" t="s">
        <v>795</v>
      </c>
      <c r="I308" s="2" t="s">
        <v>16</v>
      </c>
      <c r="J308" s="2" t="s">
        <v>796</v>
      </c>
      <c r="K308" s="2">
        <v>150.42767654161401</v>
      </c>
      <c r="L308" s="2">
        <v>151.79253758327101</v>
      </c>
      <c r="M308" s="2">
        <v>60.236291942824003</v>
      </c>
    </row>
    <row r="309" spans="1:13" x14ac:dyDescent="0.2">
      <c r="A309" s="2" t="s">
        <v>550</v>
      </c>
      <c r="B309" s="2">
        <v>108</v>
      </c>
      <c r="C309" s="2">
        <v>5</v>
      </c>
      <c r="D309" s="2">
        <v>1</v>
      </c>
      <c r="E309" s="2">
        <v>1</v>
      </c>
      <c r="F309" s="2">
        <v>1.11473024997395</v>
      </c>
      <c r="G309" s="2" t="s">
        <v>182</v>
      </c>
      <c r="H309" s="2" t="s">
        <v>797</v>
      </c>
      <c r="I309" s="2" t="s">
        <v>16</v>
      </c>
      <c r="J309" s="2" t="s">
        <v>798</v>
      </c>
      <c r="K309" s="2">
        <v>151.79434941662501</v>
      </c>
      <c r="L309" s="2">
        <v>152.909092708374</v>
      </c>
      <c r="M309" s="2">
        <v>60.236291942824003</v>
      </c>
    </row>
    <row r="310" spans="1:13" x14ac:dyDescent="0.2">
      <c r="A310" s="2" t="s">
        <v>550</v>
      </c>
      <c r="B310" s="2">
        <v>109</v>
      </c>
      <c r="C310" s="2">
        <v>5</v>
      </c>
      <c r="D310" s="2">
        <v>1</v>
      </c>
      <c r="E310" s="2">
        <v>1</v>
      </c>
      <c r="F310" s="2">
        <v>1.1148689999245101</v>
      </c>
      <c r="G310" s="2" t="s">
        <v>799</v>
      </c>
      <c r="H310" s="2" t="s">
        <v>800</v>
      </c>
      <c r="I310" s="2" t="s">
        <v>16</v>
      </c>
      <c r="J310" s="2" t="s">
        <v>801</v>
      </c>
      <c r="K310" s="2">
        <v>152.91096466663299</v>
      </c>
      <c r="L310" s="2">
        <v>154.02584854164201</v>
      </c>
      <c r="M310" s="2">
        <v>60.236291942824003</v>
      </c>
    </row>
    <row r="311" spans="1:13" x14ac:dyDescent="0.2">
      <c r="A311" s="2" t="s">
        <v>550</v>
      </c>
      <c r="B311" s="2">
        <v>110</v>
      </c>
      <c r="C311" s="2">
        <v>10</v>
      </c>
      <c r="D311" s="2">
        <v>1</v>
      </c>
      <c r="E311" s="2">
        <v>1</v>
      </c>
      <c r="F311" s="2">
        <v>1.3295532916672499</v>
      </c>
      <c r="G311" s="2" t="s">
        <v>296</v>
      </c>
      <c r="H311" s="2" t="s">
        <v>802</v>
      </c>
      <c r="I311" s="2" t="s">
        <v>16</v>
      </c>
      <c r="J311" s="2" t="s">
        <v>803</v>
      </c>
      <c r="K311" s="2">
        <v>154.029415249941</v>
      </c>
      <c r="L311" s="2">
        <v>155.35898174997399</v>
      </c>
      <c r="M311" s="2">
        <v>60.236291942824003</v>
      </c>
    </row>
    <row r="312" spans="1:13" x14ac:dyDescent="0.2">
      <c r="A312" s="2" t="s">
        <v>550</v>
      </c>
      <c r="B312" s="2">
        <v>111</v>
      </c>
      <c r="C312" s="2">
        <v>10</v>
      </c>
      <c r="D312" s="2">
        <v>1</v>
      </c>
      <c r="E312" s="2">
        <v>1</v>
      </c>
      <c r="F312" s="2">
        <v>0.86326512496452801</v>
      </c>
      <c r="G312" s="2" t="s">
        <v>804</v>
      </c>
      <c r="H312" s="2" t="s">
        <v>532</v>
      </c>
      <c r="I312" s="2" t="s">
        <v>16</v>
      </c>
      <c r="J312" s="2" t="s">
        <v>805</v>
      </c>
      <c r="K312" s="2">
        <v>155.36252629163201</v>
      </c>
      <c r="L312" s="2">
        <v>156.225811125012</v>
      </c>
      <c r="M312" s="2">
        <v>60.236291942824003</v>
      </c>
    </row>
    <row r="313" spans="1:13" x14ac:dyDescent="0.2">
      <c r="A313" s="2" t="s">
        <v>550</v>
      </c>
      <c r="B313" s="2">
        <v>112</v>
      </c>
      <c r="C313" s="2">
        <v>5</v>
      </c>
      <c r="D313" s="2">
        <v>1</v>
      </c>
      <c r="E313" s="2">
        <v>1</v>
      </c>
      <c r="F313" s="2">
        <v>1.5480222917394699</v>
      </c>
      <c r="G313" s="2" t="s">
        <v>806</v>
      </c>
      <c r="H313" s="2" t="s">
        <v>807</v>
      </c>
      <c r="I313" s="2" t="s">
        <v>16</v>
      </c>
      <c r="J313" s="2" t="s">
        <v>808</v>
      </c>
      <c r="K313" s="2">
        <v>156.227792375023</v>
      </c>
      <c r="L313" s="2">
        <v>157.77583066665099</v>
      </c>
      <c r="M313" s="2">
        <v>60.236291942824003</v>
      </c>
    </row>
    <row r="314" spans="1:13" x14ac:dyDescent="0.2">
      <c r="A314" s="2" t="s">
        <v>550</v>
      </c>
      <c r="B314" s="2">
        <v>113</v>
      </c>
      <c r="C314" s="2">
        <v>10</v>
      </c>
      <c r="D314" s="2">
        <v>1</v>
      </c>
      <c r="E314" s="2">
        <v>1</v>
      </c>
      <c r="F314" s="2">
        <v>1.36301904160064</v>
      </c>
      <c r="G314" s="2" t="s">
        <v>77</v>
      </c>
      <c r="H314" s="2" t="s">
        <v>491</v>
      </c>
      <c r="I314" s="2" t="s">
        <v>16</v>
      </c>
      <c r="J314" s="2" t="s">
        <v>809</v>
      </c>
      <c r="K314" s="2">
        <v>157.77947237493899</v>
      </c>
      <c r="L314" s="2">
        <v>159.14250470837601</v>
      </c>
      <c r="M314" s="2">
        <v>60.236291942824003</v>
      </c>
    </row>
    <row r="315" spans="1:13" x14ac:dyDescent="0.2">
      <c r="A315" s="2" t="s">
        <v>550</v>
      </c>
      <c r="B315" s="2">
        <v>114</v>
      </c>
      <c r="C315" s="2">
        <v>10</v>
      </c>
      <c r="D315" s="2">
        <v>1</v>
      </c>
      <c r="E315" s="2">
        <v>1</v>
      </c>
      <c r="F315" s="2">
        <v>1.3297040415927801</v>
      </c>
      <c r="G315" s="2" t="s">
        <v>159</v>
      </c>
      <c r="H315" s="2" t="s">
        <v>731</v>
      </c>
      <c r="I315" s="2" t="s">
        <v>16</v>
      </c>
      <c r="J315" s="2" t="s">
        <v>810</v>
      </c>
      <c r="K315" s="2">
        <v>159.14606058329801</v>
      </c>
      <c r="L315" s="2">
        <v>160.47577816667001</v>
      </c>
      <c r="M315" s="2">
        <v>60.236291942824003</v>
      </c>
    </row>
    <row r="316" spans="1:13" x14ac:dyDescent="0.2">
      <c r="A316" s="2" t="s">
        <v>550</v>
      </c>
      <c r="B316" s="2">
        <v>115</v>
      </c>
      <c r="C316" s="2">
        <v>10</v>
      </c>
      <c r="D316" s="2">
        <v>2</v>
      </c>
      <c r="E316" s="2">
        <v>0</v>
      </c>
      <c r="F316" s="2">
        <v>1.6131491666892499</v>
      </c>
      <c r="G316" s="2" t="s">
        <v>811</v>
      </c>
      <c r="H316" s="2" t="s">
        <v>812</v>
      </c>
      <c r="I316" s="2" t="s">
        <v>23</v>
      </c>
      <c r="J316" s="2" t="s">
        <v>813</v>
      </c>
      <c r="K316" s="2">
        <v>160.479235374951</v>
      </c>
      <c r="L316" s="2">
        <v>162.09239887504401</v>
      </c>
      <c r="M316" s="2">
        <v>60.236291942824003</v>
      </c>
    </row>
    <row r="317" spans="1:13" x14ac:dyDescent="0.2">
      <c r="A317" s="2" t="s">
        <v>550</v>
      </c>
      <c r="B317" s="2">
        <v>116</v>
      </c>
      <c r="C317" s="2">
        <v>10</v>
      </c>
      <c r="D317" s="2">
        <v>1</v>
      </c>
      <c r="E317" s="2">
        <v>1</v>
      </c>
      <c r="F317" s="2">
        <v>1.11268179165199</v>
      </c>
      <c r="G317" s="2" t="s">
        <v>814</v>
      </c>
      <c r="H317" s="2" t="s">
        <v>322</v>
      </c>
      <c r="I317" s="2" t="s">
        <v>16</v>
      </c>
      <c r="J317" s="2" t="s">
        <v>815</v>
      </c>
      <c r="K317" s="2">
        <v>162.096158875036</v>
      </c>
      <c r="L317" s="2">
        <v>163.20885766670099</v>
      </c>
      <c r="M317" s="2">
        <v>60.236291942824003</v>
      </c>
    </row>
    <row r="318" spans="1:13" x14ac:dyDescent="0.2">
      <c r="A318" s="2" t="s">
        <v>550</v>
      </c>
      <c r="B318" s="2">
        <v>117</v>
      </c>
      <c r="C318" s="2">
        <v>10</v>
      </c>
      <c r="D318" s="2">
        <v>1</v>
      </c>
      <c r="E318" s="2">
        <v>1</v>
      </c>
      <c r="F318" s="2">
        <v>1.16321658331435</v>
      </c>
      <c r="G318" s="2" t="s">
        <v>816</v>
      </c>
      <c r="H318" s="2" t="s">
        <v>572</v>
      </c>
      <c r="I318" s="2" t="s">
        <v>16</v>
      </c>
      <c r="J318" s="2" t="s">
        <v>817</v>
      </c>
      <c r="K318" s="2">
        <v>163.21254362503501</v>
      </c>
      <c r="L318" s="2">
        <v>164.375775541645</v>
      </c>
      <c r="M318" s="2">
        <v>60.236291942824003</v>
      </c>
    </row>
    <row r="319" spans="1:13" x14ac:dyDescent="0.2">
      <c r="A319" s="2" t="s">
        <v>550</v>
      </c>
      <c r="B319" s="2">
        <v>118</v>
      </c>
      <c r="C319" s="2">
        <v>10</v>
      </c>
      <c r="D319" s="2">
        <v>1</v>
      </c>
      <c r="E319" s="2">
        <v>1</v>
      </c>
      <c r="F319" s="2">
        <v>1.34620020829607</v>
      </c>
      <c r="G319" s="2" t="s">
        <v>132</v>
      </c>
      <c r="H319" s="2" t="s">
        <v>436</v>
      </c>
      <c r="I319" s="2" t="s">
        <v>16</v>
      </c>
      <c r="J319" s="2" t="s">
        <v>818</v>
      </c>
      <c r="K319" s="2">
        <v>164.37951533333401</v>
      </c>
      <c r="L319" s="2">
        <v>165.725729291677</v>
      </c>
      <c r="M319" s="2">
        <v>60.236291942824003</v>
      </c>
    </row>
    <row r="320" spans="1:13" x14ac:dyDescent="0.2">
      <c r="A320" s="2" t="s">
        <v>550</v>
      </c>
      <c r="B320" s="2">
        <v>119</v>
      </c>
      <c r="C320" s="2">
        <v>10</v>
      </c>
      <c r="D320" s="2">
        <v>1</v>
      </c>
      <c r="E320" s="2">
        <v>1</v>
      </c>
      <c r="F320" s="2">
        <v>0.96320316672790796</v>
      </c>
      <c r="G320" s="2" t="s">
        <v>819</v>
      </c>
      <c r="H320" s="2" t="s">
        <v>820</v>
      </c>
      <c r="I320" s="2" t="s">
        <v>16</v>
      </c>
      <c r="J320" s="2" t="s">
        <v>821</v>
      </c>
      <c r="K320" s="2">
        <v>165.729278166662</v>
      </c>
      <c r="L320" s="2">
        <v>166.69249129167301</v>
      </c>
      <c r="M320" s="2">
        <v>60.236291942824003</v>
      </c>
    </row>
    <row r="321" spans="1:13" x14ac:dyDescent="0.2">
      <c r="A321" s="2" t="s">
        <v>550</v>
      </c>
      <c r="B321" s="2">
        <v>120</v>
      </c>
      <c r="C321" s="2">
        <v>10</v>
      </c>
      <c r="D321" s="2">
        <v>1</v>
      </c>
      <c r="E321" s="2">
        <v>1</v>
      </c>
      <c r="F321" s="2">
        <v>1.49630500003696</v>
      </c>
      <c r="G321" s="2" t="s">
        <v>822</v>
      </c>
      <c r="H321" s="2" t="s">
        <v>823</v>
      </c>
      <c r="I321" s="2" t="s">
        <v>16</v>
      </c>
      <c r="J321" s="2" t="s">
        <v>824</v>
      </c>
      <c r="K321" s="2">
        <v>166.69608720834401</v>
      </c>
      <c r="L321" s="2">
        <v>168.192406958318</v>
      </c>
      <c r="M321" s="2">
        <v>60.236291942824003</v>
      </c>
    </row>
    <row r="322" spans="1:13" x14ac:dyDescent="0.2">
      <c r="A322" s="2" t="s">
        <v>550</v>
      </c>
      <c r="B322" s="2">
        <v>121</v>
      </c>
      <c r="C322" s="2">
        <v>10</v>
      </c>
      <c r="D322" s="2">
        <v>1</v>
      </c>
      <c r="E322" s="2">
        <v>1</v>
      </c>
      <c r="F322" s="2">
        <v>1.5465528749627999</v>
      </c>
      <c r="G322" s="2" t="s">
        <v>380</v>
      </c>
      <c r="H322" s="2" t="s">
        <v>73</v>
      </c>
      <c r="I322" s="2" t="s">
        <v>16</v>
      </c>
      <c r="J322" s="2" t="s">
        <v>825</v>
      </c>
      <c r="K322" s="2">
        <v>168.19595754169899</v>
      </c>
      <c r="L322" s="2">
        <v>169.74252550001299</v>
      </c>
      <c r="M322" s="2">
        <v>60.236291942824003</v>
      </c>
    </row>
    <row r="323" spans="1:13" x14ac:dyDescent="0.2">
      <c r="A323" s="2" t="s">
        <v>550</v>
      </c>
      <c r="B323" s="2">
        <v>122</v>
      </c>
      <c r="C323" s="2">
        <v>5</v>
      </c>
      <c r="D323" s="2">
        <v>1</v>
      </c>
      <c r="E323" s="2">
        <v>1</v>
      </c>
      <c r="F323" s="2">
        <v>1.3645140416920201</v>
      </c>
      <c r="G323" s="2" t="s">
        <v>826</v>
      </c>
      <c r="H323" s="2" t="s">
        <v>827</v>
      </c>
      <c r="I323" s="2" t="s">
        <v>16</v>
      </c>
      <c r="J323" s="2" t="s">
        <v>828</v>
      </c>
      <c r="K323" s="2">
        <v>169.74449908337601</v>
      </c>
      <c r="L323" s="2">
        <v>171.10902716661801</v>
      </c>
      <c r="M323" s="2">
        <v>60.236291942824003</v>
      </c>
    </row>
    <row r="324" spans="1:13" x14ac:dyDescent="0.2">
      <c r="A324" s="2" t="s">
        <v>550</v>
      </c>
      <c r="B324" s="2">
        <v>123</v>
      </c>
      <c r="C324" s="2">
        <v>5</v>
      </c>
      <c r="D324" s="2">
        <v>1</v>
      </c>
      <c r="E324" s="2">
        <v>1</v>
      </c>
      <c r="F324" s="2">
        <v>1.5147855833638499</v>
      </c>
      <c r="G324" s="2" t="s">
        <v>829</v>
      </c>
      <c r="H324" s="2" t="s">
        <v>814</v>
      </c>
      <c r="I324" s="2" t="s">
        <v>16</v>
      </c>
      <c r="J324" s="2" t="s">
        <v>830</v>
      </c>
      <c r="K324" s="2">
        <v>171.11093129171101</v>
      </c>
      <c r="L324" s="2">
        <v>172.625731125008</v>
      </c>
      <c r="M324" s="2">
        <v>60.236291942824003</v>
      </c>
    </row>
    <row r="325" spans="1:13" x14ac:dyDescent="0.2">
      <c r="A325" s="2" t="s">
        <v>550</v>
      </c>
      <c r="B325" s="2">
        <v>124</v>
      </c>
      <c r="C325" s="2">
        <v>10</v>
      </c>
      <c r="D325" s="2">
        <v>1</v>
      </c>
      <c r="E325" s="2">
        <v>1</v>
      </c>
      <c r="F325" s="2">
        <v>1.26288104162086</v>
      </c>
      <c r="G325" s="2" t="s">
        <v>741</v>
      </c>
      <c r="H325" s="2" t="s">
        <v>478</v>
      </c>
      <c r="I325" s="2" t="s">
        <v>16</v>
      </c>
      <c r="J325" s="2" t="s">
        <v>831</v>
      </c>
      <c r="K325" s="2">
        <v>172.62940550001801</v>
      </c>
      <c r="L325" s="2">
        <v>173.89229945826801</v>
      </c>
      <c r="M325" s="2">
        <v>60.236291942824003</v>
      </c>
    </row>
    <row r="326" spans="1:13" x14ac:dyDescent="0.2">
      <c r="A326" s="2" t="s">
        <v>550</v>
      </c>
      <c r="B326" s="2">
        <v>125</v>
      </c>
      <c r="C326" s="2">
        <v>10</v>
      </c>
      <c r="D326" s="2">
        <v>1</v>
      </c>
      <c r="E326" s="2">
        <v>1</v>
      </c>
      <c r="F326" s="2">
        <v>2.0295683332951699</v>
      </c>
      <c r="G326" s="2" t="s">
        <v>579</v>
      </c>
      <c r="H326" s="2" t="s">
        <v>832</v>
      </c>
      <c r="I326" s="2" t="s">
        <v>16</v>
      </c>
      <c r="J326" s="2" t="s">
        <v>833</v>
      </c>
      <c r="K326" s="2">
        <v>173.89595916669401</v>
      </c>
      <c r="L326" s="2">
        <v>175.925541708362</v>
      </c>
      <c r="M326" s="2">
        <v>60.236291942824003</v>
      </c>
    </row>
    <row r="327" spans="1:13" x14ac:dyDescent="0.2">
      <c r="A327" s="2" t="s">
        <v>550</v>
      </c>
      <c r="B327" s="2">
        <v>126</v>
      </c>
      <c r="C327" s="2">
        <v>5</v>
      </c>
      <c r="D327" s="2">
        <v>1</v>
      </c>
      <c r="E327" s="2">
        <v>1</v>
      </c>
      <c r="F327" s="2">
        <v>1.61510162497871</v>
      </c>
      <c r="G327" s="2" t="s">
        <v>535</v>
      </c>
      <c r="H327" s="2" t="s">
        <v>834</v>
      </c>
      <c r="I327" s="2" t="s">
        <v>16</v>
      </c>
      <c r="J327" s="2" t="s">
        <v>835</v>
      </c>
      <c r="K327" s="2">
        <v>175.92742249998301</v>
      </c>
      <c r="L327" s="2">
        <v>177.54254279169299</v>
      </c>
      <c r="M327" s="2">
        <v>60.236291942824003</v>
      </c>
    </row>
    <row r="328" spans="1:13" x14ac:dyDescent="0.2">
      <c r="A328" s="2" t="s">
        <v>550</v>
      </c>
      <c r="B328" s="2">
        <v>127</v>
      </c>
      <c r="C328" s="2">
        <v>5</v>
      </c>
      <c r="D328" s="2">
        <v>1</v>
      </c>
      <c r="E328" s="2">
        <v>1</v>
      </c>
      <c r="F328" s="2">
        <v>1.68103724997491</v>
      </c>
      <c r="G328" s="2" t="s">
        <v>40</v>
      </c>
      <c r="H328" s="2" t="s">
        <v>836</v>
      </c>
      <c r="I328" s="2" t="s">
        <v>16</v>
      </c>
      <c r="J328" s="2" t="s">
        <v>837</v>
      </c>
      <c r="K328" s="2">
        <v>177.54454074997901</v>
      </c>
      <c r="L328" s="2">
        <v>179.22559208329801</v>
      </c>
      <c r="M328" s="2">
        <v>60.236291942824003</v>
      </c>
    </row>
    <row r="329" spans="1:13" x14ac:dyDescent="0.2">
      <c r="A329" s="2" t="s">
        <v>550</v>
      </c>
      <c r="B329" s="2">
        <v>128</v>
      </c>
      <c r="C329" s="2">
        <v>5</v>
      </c>
      <c r="D329" s="2">
        <v>1</v>
      </c>
      <c r="E329" s="2">
        <v>1</v>
      </c>
      <c r="F329" s="2">
        <v>1.7314615000505</v>
      </c>
      <c r="G329" s="2" t="s">
        <v>221</v>
      </c>
      <c r="H329" s="2" t="s">
        <v>838</v>
      </c>
      <c r="I329" s="2" t="s">
        <v>16</v>
      </c>
      <c r="J329" s="2" t="s">
        <v>839</v>
      </c>
      <c r="K329" s="2">
        <v>179.22750804165801</v>
      </c>
      <c r="L329" s="2">
        <v>180.95898354169901</v>
      </c>
      <c r="M329" s="2">
        <v>60.236291942824003</v>
      </c>
    </row>
    <row r="330" spans="1:13" x14ac:dyDescent="0.2">
      <c r="A330" s="2" t="s">
        <v>550</v>
      </c>
      <c r="B330" s="2">
        <v>129</v>
      </c>
      <c r="C330" s="2">
        <v>10</v>
      </c>
      <c r="D330" s="2">
        <v>2</v>
      </c>
      <c r="E330" s="2">
        <v>0</v>
      </c>
      <c r="F330" s="2">
        <v>2.6129775834269799</v>
      </c>
      <c r="G330" s="2" t="s">
        <v>840</v>
      </c>
      <c r="H330" s="2" t="s">
        <v>841</v>
      </c>
      <c r="I330" s="2" t="s">
        <v>23</v>
      </c>
      <c r="J330" s="2" t="s">
        <v>842</v>
      </c>
      <c r="K330" s="2">
        <v>180.96261691663</v>
      </c>
      <c r="L330" s="2">
        <v>183.57560858328401</v>
      </c>
      <c r="M330" s="2">
        <v>60.236291942824003</v>
      </c>
    </row>
    <row r="331" spans="1:13" x14ac:dyDescent="0.2">
      <c r="A331" s="2" t="s">
        <v>550</v>
      </c>
      <c r="B331" s="2">
        <v>130</v>
      </c>
      <c r="C331" s="2">
        <v>10</v>
      </c>
      <c r="D331" s="2">
        <v>1</v>
      </c>
      <c r="E331" s="2">
        <v>1</v>
      </c>
      <c r="F331" s="2">
        <v>1.7632493333658199</v>
      </c>
      <c r="G331" s="2" t="s">
        <v>297</v>
      </c>
      <c r="H331" s="2" t="s">
        <v>526</v>
      </c>
      <c r="I331" s="2" t="s">
        <v>16</v>
      </c>
      <c r="J331" s="2" t="s">
        <v>843</v>
      </c>
      <c r="K331" s="2">
        <v>183.57916191662699</v>
      </c>
      <c r="L331" s="2">
        <v>185.342427208321</v>
      </c>
      <c r="M331" s="2">
        <v>60.236291942824003</v>
      </c>
    </row>
    <row r="332" spans="1:13" x14ac:dyDescent="0.2">
      <c r="A332" s="2" t="s">
        <v>550</v>
      </c>
      <c r="B332" s="2">
        <v>131</v>
      </c>
      <c r="C332" s="2">
        <v>5</v>
      </c>
      <c r="D332" s="2">
        <v>1</v>
      </c>
      <c r="E332" s="2">
        <v>1</v>
      </c>
      <c r="F332" s="2">
        <v>1.23141737503465</v>
      </c>
      <c r="G332" s="2" t="s">
        <v>844</v>
      </c>
      <c r="H332" s="2" t="s">
        <v>845</v>
      </c>
      <c r="I332" s="2" t="s">
        <v>16</v>
      </c>
      <c r="J332" s="2" t="s">
        <v>846</v>
      </c>
      <c r="K332" s="2">
        <v>185.34443325002201</v>
      </c>
      <c r="L332" s="2">
        <v>186.57587454165301</v>
      </c>
      <c r="M332" s="2">
        <v>60.236291942824003</v>
      </c>
    </row>
    <row r="333" spans="1:13" x14ac:dyDescent="0.2">
      <c r="A333" s="2" t="s">
        <v>550</v>
      </c>
      <c r="B333" s="2">
        <v>132</v>
      </c>
      <c r="C333" s="2">
        <v>5</v>
      </c>
      <c r="D333" s="2">
        <v>1</v>
      </c>
      <c r="E333" s="2">
        <v>1</v>
      </c>
      <c r="F333" s="2">
        <v>1.88107016670983</v>
      </c>
      <c r="G333" s="2" t="s">
        <v>700</v>
      </c>
      <c r="H333" s="2" t="s">
        <v>847</v>
      </c>
      <c r="I333" s="2" t="s">
        <v>16</v>
      </c>
      <c r="J333" s="2" t="s">
        <v>848</v>
      </c>
      <c r="K333" s="2">
        <v>186.57785612496099</v>
      </c>
      <c r="L333" s="2">
        <v>188.45894050004401</v>
      </c>
      <c r="M333" s="2">
        <v>60.236291942824003</v>
      </c>
    </row>
    <row r="334" spans="1:13" x14ac:dyDescent="0.2">
      <c r="A334" s="2" t="s">
        <v>550</v>
      </c>
      <c r="B334" s="2">
        <v>133</v>
      </c>
      <c r="C334" s="2">
        <v>10</v>
      </c>
      <c r="D334" s="2">
        <v>1</v>
      </c>
      <c r="E334" s="2">
        <v>1</v>
      </c>
      <c r="F334" s="2">
        <v>1.2130824166815699</v>
      </c>
      <c r="G334" s="2" t="s">
        <v>849</v>
      </c>
      <c r="H334" s="2" t="s">
        <v>46</v>
      </c>
      <c r="I334" s="2" t="s">
        <v>16</v>
      </c>
      <c r="J334" s="2" t="s">
        <v>850</v>
      </c>
      <c r="K334" s="2">
        <v>188.46252679161299</v>
      </c>
      <c r="L334" s="2">
        <v>189.67562333331401</v>
      </c>
      <c r="M334" s="2">
        <v>60.236291942824003</v>
      </c>
    </row>
    <row r="335" spans="1:13" x14ac:dyDescent="0.2">
      <c r="A335" s="2" t="s">
        <v>550</v>
      </c>
      <c r="B335" s="2">
        <v>134</v>
      </c>
      <c r="C335" s="2">
        <v>10</v>
      </c>
      <c r="D335" s="2">
        <v>1</v>
      </c>
      <c r="E335" s="2">
        <v>1</v>
      </c>
      <c r="F335" s="2">
        <v>1.46304349997081</v>
      </c>
      <c r="G335" s="2" t="s">
        <v>851</v>
      </c>
      <c r="H335" s="2" t="s">
        <v>488</v>
      </c>
      <c r="I335" s="2" t="s">
        <v>16</v>
      </c>
      <c r="J335" s="2" t="s">
        <v>852</v>
      </c>
      <c r="K335" s="2">
        <v>189.679267416708</v>
      </c>
      <c r="L335" s="2">
        <v>191.14232595835401</v>
      </c>
      <c r="M335" s="2">
        <v>60.236291942824003</v>
      </c>
    </row>
    <row r="336" spans="1:13" x14ac:dyDescent="0.2">
      <c r="A336" s="2" t="s">
        <v>550</v>
      </c>
      <c r="B336" s="2">
        <v>135</v>
      </c>
      <c r="C336" s="2">
        <v>10</v>
      </c>
      <c r="D336" s="2">
        <v>1</v>
      </c>
      <c r="E336" s="2">
        <v>1</v>
      </c>
      <c r="F336" s="2">
        <v>2.0626825833460298</v>
      </c>
      <c r="G336" s="2" t="s">
        <v>218</v>
      </c>
      <c r="H336" s="2" t="s">
        <v>335</v>
      </c>
      <c r="I336" s="2" t="s">
        <v>16</v>
      </c>
      <c r="J336" s="2" t="s">
        <v>853</v>
      </c>
      <c r="K336" s="2">
        <v>191.14596995827699</v>
      </c>
      <c r="L336" s="2">
        <v>193.208668208332</v>
      </c>
      <c r="M336" s="2">
        <v>60.236291942824003</v>
      </c>
    </row>
    <row r="337" spans="1:13" x14ac:dyDescent="0.2">
      <c r="A337" s="2" t="s">
        <v>550</v>
      </c>
      <c r="B337" s="2">
        <v>136</v>
      </c>
      <c r="C337" s="2">
        <v>10</v>
      </c>
      <c r="D337" s="2">
        <v>1</v>
      </c>
      <c r="E337" s="2">
        <v>1</v>
      </c>
      <c r="F337" s="2">
        <v>2.57993004168384</v>
      </c>
      <c r="G337" s="2" t="s">
        <v>854</v>
      </c>
      <c r="H337" s="2" t="s">
        <v>442</v>
      </c>
      <c r="I337" s="2" t="s">
        <v>16</v>
      </c>
      <c r="J337" s="2" t="s">
        <v>855</v>
      </c>
      <c r="K337" s="2">
        <v>193.21228195831699</v>
      </c>
      <c r="L337" s="2">
        <v>195.792226458318</v>
      </c>
      <c r="M337" s="2">
        <v>60.236291942824003</v>
      </c>
    </row>
    <row r="338" spans="1:13" x14ac:dyDescent="0.2">
      <c r="A338" s="2" t="s">
        <v>550</v>
      </c>
      <c r="B338" s="2">
        <v>137</v>
      </c>
      <c r="C338" s="2">
        <v>5</v>
      </c>
      <c r="D338" s="2">
        <v>1</v>
      </c>
      <c r="E338" s="2">
        <v>1</v>
      </c>
      <c r="F338" s="2">
        <v>1.4316297083860301</v>
      </c>
      <c r="G338" s="2" t="s">
        <v>856</v>
      </c>
      <c r="H338" s="2" t="s">
        <v>857</v>
      </c>
      <c r="I338" s="2" t="s">
        <v>16</v>
      </c>
      <c r="J338" s="2" t="s">
        <v>858</v>
      </c>
      <c r="K338" s="2">
        <v>195.794129291666</v>
      </c>
      <c r="L338" s="2">
        <v>197.22577645827599</v>
      </c>
      <c r="M338" s="2">
        <v>60.236291942824003</v>
      </c>
    </row>
    <row r="339" spans="1:13" x14ac:dyDescent="0.2">
      <c r="A339" s="2" t="s">
        <v>550</v>
      </c>
      <c r="B339" s="2">
        <v>138</v>
      </c>
      <c r="C339" s="2">
        <v>5</v>
      </c>
      <c r="D339" s="2">
        <v>1</v>
      </c>
      <c r="E339" s="2">
        <v>1</v>
      </c>
      <c r="F339" s="2">
        <v>1.58109900006093</v>
      </c>
      <c r="G339" s="2" t="s">
        <v>19</v>
      </c>
      <c r="H339" s="2" t="s">
        <v>502</v>
      </c>
      <c r="I339" s="2" t="s">
        <v>16</v>
      </c>
      <c r="J339" s="2" t="s">
        <v>859</v>
      </c>
      <c r="K339" s="2">
        <v>197.227810083306</v>
      </c>
      <c r="L339" s="2">
        <v>198.808924166602</v>
      </c>
      <c r="M339" s="2">
        <v>60.236291942824003</v>
      </c>
    </row>
    <row r="340" spans="1:13" x14ac:dyDescent="0.2">
      <c r="A340" s="2" t="s">
        <v>550</v>
      </c>
      <c r="B340" s="2">
        <v>139</v>
      </c>
      <c r="C340" s="2">
        <v>10</v>
      </c>
      <c r="D340" s="2">
        <v>1</v>
      </c>
      <c r="E340" s="2">
        <v>1</v>
      </c>
      <c r="F340" s="2">
        <v>1.06299629167188</v>
      </c>
      <c r="G340" s="2" t="s">
        <v>860</v>
      </c>
      <c r="H340" s="2" t="s">
        <v>861</v>
      </c>
      <c r="I340" s="2" t="s">
        <v>16</v>
      </c>
      <c r="J340" s="2" t="s">
        <v>862</v>
      </c>
      <c r="K340" s="2">
        <v>198.812566541601</v>
      </c>
      <c r="L340" s="2">
        <v>199.87557549995799</v>
      </c>
      <c r="M340" s="2">
        <v>60.236291942824003</v>
      </c>
    </row>
    <row r="341" spans="1:13" x14ac:dyDescent="0.2">
      <c r="A341" s="2" t="s">
        <v>550</v>
      </c>
      <c r="B341" s="2">
        <v>140</v>
      </c>
      <c r="C341" s="2">
        <v>5</v>
      </c>
      <c r="D341" s="2">
        <v>2</v>
      </c>
      <c r="E341" s="2">
        <v>0</v>
      </c>
      <c r="F341" s="2">
        <v>1.94769037503284</v>
      </c>
      <c r="G341" s="2" t="s">
        <v>863</v>
      </c>
      <c r="H341" s="2" t="s">
        <v>864</v>
      </c>
      <c r="I341" s="2" t="s">
        <v>23</v>
      </c>
      <c r="J341" s="2" t="s">
        <v>865</v>
      </c>
      <c r="K341" s="2">
        <v>199.87756979162799</v>
      </c>
      <c r="L341" s="2">
        <v>201.82527429168101</v>
      </c>
      <c r="M341" s="2">
        <v>60.236291942824003</v>
      </c>
    </row>
    <row r="342" spans="1:13" x14ac:dyDescent="0.2">
      <c r="A342" s="2" t="s">
        <v>550</v>
      </c>
      <c r="B342" s="2">
        <v>141</v>
      </c>
      <c r="C342" s="2">
        <v>5</v>
      </c>
      <c r="D342" s="2">
        <v>1</v>
      </c>
      <c r="E342" s="2">
        <v>1</v>
      </c>
      <c r="F342" s="2">
        <v>1.1983270833734401</v>
      </c>
      <c r="G342" s="2" t="s">
        <v>440</v>
      </c>
      <c r="H342" s="2" t="s">
        <v>866</v>
      </c>
      <c r="I342" s="2" t="s">
        <v>16</v>
      </c>
      <c r="J342" s="2" t="s">
        <v>867</v>
      </c>
      <c r="K342" s="2">
        <v>201.82729024998801</v>
      </c>
      <c r="L342" s="2">
        <v>203.02563187503301</v>
      </c>
      <c r="M342" s="2">
        <v>60.236291942824003</v>
      </c>
    </row>
    <row r="343" spans="1:13" x14ac:dyDescent="0.2">
      <c r="A343" s="2" t="s">
        <v>550</v>
      </c>
      <c r="B343" s="2">
        <v>142</v>
      </c>
      <c r="C343" s="2">
        <v>5</v>
      </c>
      <c r="D343" s="2">
        <v>1</v>
      </c>
      <c r="E343" s="2">
        <v>1</v>
      </c>
      <c r="F343" s="2">
        <v>1.047918166616</v>
      </c>
      <c r="G343" s="2" t="s">
        <v>868</v>
      </c>
      <c r="H343" s="2" t="s">
        <v>271</v>
      </c>
      <c r="I343" s="2" t="s">
        <v>16</v>
      </c>
      <c r="J343" s="2" t="s">
        <v>869</v>
      </c>
      <c r="K343" s="2">
        <v>203.02764600003101</v>
      </c>
      <c r="L343" s="2">
        <v>204.075578833348</v>
      </c>
      <c r="M343" s="2">
        <v>60.236291942824003</v>
      </c>
    </row>
    <row r="344" spans="1:13" x14ac:dyDescent="0.2">
      <c r="A344" s="2" t="s">
        <v>550</v>
      </c>
      <c r="B344" s="2">
        <v>143</v>
      </c>
      <c r="C344" s="2">
        <v>10</v>
      </c>
      <c r="D344" s="2">
        <v>1</v>
      </c>
      <c r="E344" s="2">
        <v>1</v>
      </c>
      <c r="F344" s="2">
        <v>2.0796309165889402</v>
      </c>
      <c r="G344" s="2" t="s">
        <v>870</v>
      </c>
      <c r="H344" s="2" t="s">
        <v>871</v>
      </c>
      <c r="I344" s="2" t="s">
        <v>16</v>
      </c>
      <c r="J344" s="2" t="s">
        <v>872</v>
      </c>
      <c r="K344" s="2">
        <v>204.07918400003101</v>
      </c>
      <c r="L344" s="2">
        <v>206.158828124986</v>
      </c>
      <c r="M344" s="2">
        <v>60.236291942824003</v>
      </c>
    </row>
    <row r="345" spans="1:13" x14ac:dyDescent="0.2">
      <c r="A345" s="2" t="s">
        <v>550</v>
      </c>
      <c r="B345" s="2">
        <v>144</v>
      </c>
      <c r="C345" s="2">
        <v>5</v>
      </c>
      <c r="D345" s="2">
        <v>1</v>
      </c>
      <c r="E345" s="2">
        <v>1</v>
      </c>
      <c r="F345" s="2">
        <v>1.29823766660411</v>
      </c>
      <c r="G345" s="2" t="s">
        <v>216</v>
      </c>
      <c r="H345" s="2" t="s">
        <v>873</v>
      </c>
      <c r="I345" s="2" t="s">
        <v>16</v>
      </c>
      <c r="J345" s="2" t="s">
        <v>874</v>
      </c>
      <c r="K345" s="2">
        <v>206.16074712504599</v>
      </c>
      <c r="L345" s="2">
        <v>207.45900070830299</v>
      </c>
      <c r="M345" s="2">
        <v>60.236291942824003</v>
      </c>
    </row>
    <row r="346" spans="1:13" x14ac:dyDescent="0.2">
      <c r="A346" s="2" t="s">
        <v>550</v>
      </c>
      <c r="B346" s="2">
        <v>145</v>
      </c>
      <c r="C346" s="2">
        <v>5</v>
      </c>
      <c r="D346" s="2">
        <v>1</v>
      </c>
      <c r="E346" s="2">
        <v>1</v>
      </c>
      <c r="F346" s="2">
        <v>1.1645839583361499</v>
      </c>
      <c r="G346" s="2" t="s">
        <v>227</v>
      </c>
      <c r="H346" s="2" t="s">
        <v>770</v>
      </c>
      <c r="I346" s="2" t="s">
        <v>16</v>
      </c>
      <c r="J346" s="2" t="s">
        <v>875</v>
      </c>
      <c r="K346" s="2">
        <v>207.46099879161901</v>
      </c>
      <c r="L346" s="2">
        <v>208.62559737497901</v>
      </c>
      <c r="M346" s="2">
        <v>60.236291942824003</v>
      </c>
    </row>
    <row r="347" spans="1:13" x14ac:dyDescent="0.2">
      <c r="A347" s="2" t="s">
        <v>550</v>
      </c>
      <c r="B347" s="2">
        <v>146</v>
      </c>
      <c r="C347" s="2">
        <v>10</v>
      </c>
      <c r="D347" s="2">
        <v>2</v>
      </c>
      <c r="E347" s="2">
        <v>0</v>
      </c>
      <c r="F347" s="2">
        <v>2.1628882499644502</v>
      </c>
      <c r="G347" s="2" t="s">
        <v>876</v>
      </c>
      <c r="H347" s="2" t="s">
        <v>877</v>
      </c>
      <c r="I347" s="2" t="s">
        <v>23</v>
      </c>
      <c r="J347" s="2" t="s">
        <v>878</v>
      </c>
      <c r="K347" s="2">
        <v>208.629181208322</v>
      </c>
      <c r="L347" s="2">
        <v>210.79208087502101</v>
      </c>
      <c r="M347" s="2">
        <v>60.236291942824003</v>
      </c>
    </row>
    <row r="348" spans="1:13" x14ac:dyDescent="0.2">
      <c r="A348" s="2" t="s">
        <v>550</v>
      </c>
      <c r="B348" s="2">
        <v>147</v>
      </c>
      <c r="C348" s="2">
        <v>10</v>
      </c>
      <c r="D348" s="2">
        <v>1</v>
      </c>
      <c r="E348" s="2">
        <v>1</v>
      </c>
      <c r="F348" s="2">
        <v>1.22987866669428</v>
      </c>
      <c r="G348" s="2" t="s">
        <v>561</v>
      </c>
      <c r="H348" s="2" t="s">
        <v>879</v>
      </c>
      <c r="I348" s="2" t="s">
        <v>16</v>
      </c>
      <c r="J348" s="2" t="s">
        <v>880</v>
      </c>
      <c r="K348" s="2">
        <v>210.79560941667299</v>
      </c>
      <c r="L348" s="2">
        <v>212.02550220827101</v>
      </c>
      <c r="M348" s="2">
        <v>60.236291942824003</v>
      </c>
    </row>
    <row r="349" spans="1:13" x14ac:dyDescent="0.2">
      <c r="A349" s="2" t="s">
        <v>550</v>
      </c>
      <c r="B349" s="2">
        <v>148</v>
      </c>
      <c r="C349" s="2">
        <v>5</v>
      </c>
      <c r="D349" s="2">
        <v>1</v>
      </c>
      <c r="E349" s="2">
        <v>1</v>
      </c>
      <c r="F349" s="2">
        <v>2.4147419999353601</v>
      </c>
      <c r="G349" s="2" t="s">
        <v>881</v>
      </c>
      <c r="H349" s="2" t="s">
        <v>630</v>
      </c>
      <c r="I349" s="2" t="s">
        <v>16</v>
      </c>
      <c r="J349" s="2" t="s">
        <v>882</v>
      </c>
      <c r="K349" s="2">
        <v>212.02740366663801</v>
      </c>
      <c r="L349" s="2">
        <v>214.44215862499601</v>
      </c>
      <c r="M349" s="2">
        <v>60.236291942824003</v>
      </c>
    </row>
    <row r="350" spans="1:13" x14ac:dyDescent="0.2">
      <c r="A350" s="2" t="s">
        <v>550</v>
      </c>
      <c r="B350" s="2">
        <v>149</v>
      </c>
      <c r="C350" s="2">
        <v>5</v>
      </c>
      <c r="D350" s="2">
        <v>1</v>
      </c>
      <c r="E350" s="2">
        <v>1</v>
      </c>
      <c r="F350" s="2">
        <v>1.6148605416528901</v>
      </c>
      <c r="G350" s="2" t="s">
        <v>883</v>
      </c>
      <c r="H350" s="2" t="s">
        <v>515</v>
      </c>
      <c r="I350" s="2" t="s">
        <v>16</v>
      </c>
      <c r="J350" s="2" t="s">
        <v>884</v>
      </c>
      <c r="K350" s="2">
        <v>214.44404274993599</v>
      </c>
      <c r="L350" s="2">
        <v>216.05891612498101</v>
      </c>
      <c r="M350" s="2">
        <v>60.236291942824003</v>
      </c>
    </row>
    <row r="351" spans="1:13" x14ac:dyDescent="0.2">
      <c r="A351" s="2" t="s">
        <v>550</v>
      </c>
      <c r="B351" s="2">
        <v>150</v>
      </c>
      <c r="C351" s="2">
        <v>10</v>
      </c>
      <c r="D351" s="2">
        <v>1</v>
      </c>
      <c r="E351" s="2">
        <v>1</v>
      </c>
      <c r="F351" s="2">
        <v>1.54627491661813</v>
      </c>
      <c r="G351" s="2" t="s">
        <v>885</v>
      </c>
      <c r="H351" s="2" t="s">
        <v>225</v>
      </c>
      <c r="I351" s="2" t="s">
        <v>16</v>
      </c>
      <c r="J351" s="2" t="s">
        <v>886</v>
      </c>
      <c r="K351" s="2">
        <v>216.06252499995799</v>
      </c>
      <c r="L351" s="2">
        <v>217.60881483333699</v>
      </c>
      <c r="M351" s="2">
        <v>60.236291942824003</v>
      </c>
    </row>
    <row r="352" spans="1:13" x14ac:dyDescent="0.2">
      <c r="A352" s="2" t="s">
        <v>550</v>
      </c>
      <c r="B352" s="2">
        <v>151</v>
      </c>
      <c r="C352" s="2">
        <v>5</v>
      </c>
      <c r="D352" s="2">
        <v>1</v>
      </c>
      <c r="E352" s="2">
        <v>1</v>
      </c>
      <c r="F352" s="2">
        <v>1.8313578749075501</v>
      </c>
      <c r="G352" s="2" t="s">
        <v>759</v>
      </c>
      <c r="H352" s="2" t="s">
        <v>681</v>
      </c>
      <c r="I352" s="2" t="s">
        <v>16</v>
      </c>
      <c r="J352" s="2" t="s">
        <v>887</v>
      </c>
      <c r="K352" s="2">
        <v>217.61078587500401</v>
      </c>
      <c r="L352" s="2">
        <v>219.44215912499899</v>
      </c>
      <c r="M352" s="2">
        <v>60.236291942824003</v>
      </c>
    </row>
    <row r="353" spans="1:13" x14ac:dyDescent="0.2">
      <c r="A353" s="2" t="s">
        <v>550</v>
      </c>
      <c r="B353" s="2">
        <v>152</v>
      </c>
      <c r="C353" s="2">
        <v>5</v>
      </c>
      <c r="D353" s="2">
        <v>1</v>
      </c>
      <c r="E353" s="2">
        <v>1</v>
      </c>
      <c r="F353" s="2">
        <v>1.3146782499970899</v>
      </c>
      <c r="G353" s="2" t="s">
        <v>888</v>
      </c>
      <c r="H353" s="2" t="s">
        <v>544</v>
      </c>
      <c r="I353" s="2" t="s">
        <v>16</v>
      </c>
      <c r="J353" s="2" t="s">
        <v>889</v>
      </c>
      <c r="K353" s="2">
        <v>219.44415749993601</v>
      </c>
      <c r="L353" s="2">
        <v>220.75884920836</v>
      </c>
      <c r="M353" s="2">
        <v>60.236291942824003</v>
      </c>
    </row>
    <row r="354" spans="1:13" x14ac:dyDescent="0.2">
      <c r="A354" s="2" t="s">
        <v>550</v>
      </c>
      <c r="B354" s="2">
        <v>153</v>
      </c>
      <c r="C354" s="2">
        <v>5</v>
      </c>
      <c r="D354" s="2">
        <v>1</v>
      </c>
      <c r="E354" s="2">
        <v>1</v>
      </c>
      <c r="F354" s="2">
        <v>1.1312894999282399</v>
      </c>
      <c r="G354" s="2" t="s">
        <v>339</v>
      </c>
      <c r="H354" s="2" t="s">
        <v>890</v>
      </c>
      <c r="I354" s="2" t="s">
        <v>16</v>
      </c>
      <c r="J354" s="2" t="s">
        <v>891</v>
      </c>
      <c r="K354" s="2">
        <v>220.76074187504099</v>
      </c>
      <c r="L354" s="2">
        <v>221.89204499998601</v>
      </c>
      <c r="M354" s="2">
        <v>60.236291942824003</v>
      </c>
    </row>
    <row r="355" spans="1:13" x14ac:dyDescent="0.2">
      <c r="A355" s="2" t="s">
        <v>550</v>
      </c>
      <c r="B355" s="2">
        <v>154</v>
      </c>
      <c r="C355" s="2">
        <v>10</v>
      </c>
      <c r="D355" s="2">
        <v>1</v>
      </c>
      <c r="E355" s="2">
        <v>1</v>
      </c>
      <c r="F355" s="2">
        <v>2.1467074167449001</v>
      </c>
      <c r="G355" s="2" t="s">
        <v>892</v>
      </c>
      <c r="H355" s="2" t="s">
        <v>491</v>
      </c>
      <c r="I355" s="2" t="s">
        <v>16</v>
      </c>
      <c r="J355" s="2" t="s">
        <v>893</v>
      </c>
      <c r="K355" s="2">
        <v>221.89553049998401</v>
      </c>
      <c r="L355" s="2">
        <v>224.04225149995199</v>
      </c>
      <c r="M355" s="2">
        <v>60.236291942824003</v>
      </c>
    </row>
    <row r="356" spans="1:13" x14ac:dyDescent="0.2">
      <c r="A356" s="2" t="s">
        <v>550</v>
      </c>
      <c r="B356" s="2">
        <v>155</v>
      </c>
      <c r="C356" s="2">
        <v>5</v>
      </c>
      <c r="D356" s="2">
        <v>1</v>
      </c>
      <c r="E356" s="2">
        <v>1</v>
      </c>
      <c r="F356" s="2">
        <v>1.4981603333726501</v>
      </c>
      <c r="G356" s="2" t="s">
        <v>894</v>
      </c>
      <c r="H356" s="2" t="s">
        <v>895</v>
      </c>
      <c r="I356" s="2" t="s">
        <v>16</v>
      </c>
      <c r="J356" s="2" t="s">
        <v>896</v>
      </c>
      <c r="K356" s="2">
        <v>224.04414137499401</v>
      </c>
      <c r="L356" s="2">
        <v>225.54232050001201</v>
      </c>
      <c r="M356" s="2">
        <v>60.236291942824003</v>
      </c>
    </row>
    <row r="357" spans="1:13" x14ac:dyDescent="0.2">
      <c r="A357" s="2" t="s">
        <v>550</v>
      </c>
      <c r="B357" s="2">
        <v>156</v>
      </c>
      <c r="C357" s="2">
        <v>5</v>
      </c>
      <c r="D357" s="2">
        <v>1</v>
      </c>
      <c r="E357" s="2">
        <v>1</v>
      </c>
      <c r="F357" s="2">
        <v>1.38145258335862</v>
      </c>
      <c r="G357" s="2" t="s">
        <v>505</v>
      </c>
      <c r="H357" s="2" t="s">
        <v>782</v>
      </c>
      <c r="I357" s="2" t="s">
        <v>16</v>
      </c>
      <c r="J357" s="2" t="s">
        <v>897</v>
      </c>
      <c r="K357" s="2">
        <v>225.544203916681</v>
      </c>
      <c r="L357" s="2">
        <v>226.92567158327401</v>
      </c>
      <c r="M357" s="2">
        <v>60.236291942824003</v>
      </c>
    </row>
    <row r="358" spans="1:13" x14ac:dyDescent="0.2">
      <c r="A358" s="2" t="s">
        <v>550</v>
      </c>
      <c r="B358" s="2">
        <v>157</v>
      </c>
      <c r="C358" s="2">
        <v>10</v>
      </c>
      <c r="D358" s="2">
        <v>1</v>
      </c>
      <c r="E358" s="2">
        <v>1</v>
      </c>
      <c r="F358" s="2">
        <v>1.12953491660301</v>
      </c>
      <c r="G358" s="2" t="s">
        <v>424</v>
      </c>
      <c r="H358" s="2" t="s">
        <v>898</v>
      </c>
      <c r="I358" s="2" t="s">
        <v>16</v>
      </c>
      <c r="J358" s="2" t="s">
        <v>899</v>
      </c>
      <c r="K358" s="2">
        <v>226.92929758329399</v>
      </c>
      <c r="L358" s="2">
        <v>228.058848625049</v>
      </c>
      <c r="M358" s="2">
        <v>60.236291942824003</v>
      </c>
    </row>
    <row r="359" spans="1:13" x14ac:dyDescent="0.2">
      <c r="A359" s="2" t="s">
        <v>550</v>
      </c>
      <c r="B359" s="2">
        <v>158</v>
      </c>
      <c r="C359" s="2">
        <v>10</v>
      </c>
      <c r="D359" s="2">
        <v>1</v>
      </c>
      <c r="E359" s="2">
        <v>1</v>
      </c>
      <c r="F359" s="2">
        <v>1.1629124582978001</v>
      </c>
      <c r="G359" s="2" t="s">
        <v>900</v>
      </c>
      <c r="H359" s="2" t="s">
        <v>557</v>
      </c>
      <c r="I359" s="2" t="s">
        <v>16</v>
      </c>
      <c r="J359" s="2" t="s">
        <v>901</v>
      </c>
      <c r="K359" s="2">
        <v>228.06259300001</v>
      </c>
      <c r="L359" s="2">
        <v>229.225523125031</v>
      </c>
      <c r="M359" s="2">
        <v>60.236291942824003</v>
      </c>
    </row>
    <row r="360" spans="1:13" x14ac:dyDescent="0.2">
      <c r="A360" s="2" t="s">
        <v>550</v>
      </c>
      <c r="B360" s="2">
        <v>159</v>
      </c>
      <c r="C360" s="2">
        <v>5</v>
      </c>
      <c r="D360" s="2">
        <v>1</v>
      </c>
      <c r="E360" s="2">
        <v>1</v>
      </c>
      <c r="F360" s="2">
        <v>1.3144921250641399</v>
      </c>
      <c r="G360" s="2" t="s">
        <v>542</v>
      </c>
      <c r="H360" s="2" t="s">
        <v>902</v>
      </c>
      <c r="I360" s="2" t="s">
        <v>16</v>
      </c>
      <c r="J360" s="2" t="s">
        <v>903</v>
      </c>
      <c r="K360" s="2">
        <v>229.22753866668799</v>
      </c>
      <c r="L360" s="2">
        <v>230.54204550001299</v>
      </c>
      <c r="M360" s="2">
        <v>60.236291942824003</v>
      </c>
    </row>
    <row r="361" spans="1:13" x14ac:dyDescent="0.2">
      <c r="A361" s="2" t="s">
        <v>550</v>
      </c>
      <c r="B361" s="2">
        <v>160</v>
      </c>
      <c r="C361" s="2">
        <v>5</v>
      </c>
      <c r="D361" s="2">
        <v>1</v>
      </c>
      <c r="E361" s="2">
        <v>1</v>
      </c>
      <c r="F361" s="2">
        <v>0.98119791666977096</v>
      </c>
      <c r="G361" s="2" t="s">
        <v>452</v>
      </c>
      <c r="H361" s="2" t="s">
        <v>904</v>
      </c>
      <c r="I361" s="2" t="s">
        <v>16</v>
      </c>
      <c r="J361" s="2" t="s">
        <v>905</v>
      </c>
      <c r="K361" s="2">
        <v>230.54402166663201</v>
      </c>
      <c r="L361" s="2">
        <v>231.52523329167201</v>
      </c>
      <c r="M361" s="2">
        <v>60.236291942824003</v>
      </c>
    </row>
    <row r="362" spans="1:13" x14ac:dyDescent="0.2">
      <c r="A362" s="2" t="s">
        <v>550</v>
      </c>
      <c r="B362" s="2">
        <v>161</v>
      </c>
      <c r="C362" s="2">
        <v>10</v>
      </c>
      <c r="D362" s="2">
        <v>1</v>
      </c>
      <c r="E362" s="2">
        <v>1</v>
      </c>
      <c r="F362" s="2">
        <v>1.0800004584016301</v>
      </c>
      <c r="G362" s="2" t="s">
        <v>906</v>
      </c>
      <c r="H362" s="2" t="s">
        <v>666</v>
      </c>
      <c r="I362" s="2" t="s">
        <v>16</v>
      </c>
      <c r="J362" s="2" t="s">
        <v>907</v>
      </c>
      <c r="K362" s="2">
        <v>231.52889229171001</v>
      </c>
      <c r="L362" s="2">
        <v>232.60891095828299</v>
      </c>
      <c r="M362" s="2">
        <v>60.236291942824003</v>
      </c>
    </row>
    <row r="363" spans="1:13" x14ac:dyDescent="0.2">
      <c r="A363" s="2" t="s">
        <v>550</v>
      </c>
      <c r="B363" s="2">
        <v>162</v>
      </c>
      <c r="C363" s="2">
        <v>10</v>
      </c>
      <c r="D363" s="2">
        <v>1</v>
      </c>
      <c r="E363" s="2">
        <v>1</v>
      </c>
      <c r="F363" s="2">
        <v>1.0630342917283999</v>
      </c>
      <c r="G363" s="2" t="s">
        <v>908</v>
      </c>
      <c r="H363" s="2" t="s">
        <v>716</v>
      </c>
      <c r="I363" s="2" t="s">
        <v>16</v>
      </c>
      <c r="J363" s="2" t="s">
        <v>909</v>
      </c>
      <c r="K363" s="2">
        <v>232.612459166674</v>
      </c>
      <c r="L363" s="2">
        <v>233.675506958272</v>
      </c>
      <c r="M363" s="2">
        <v>60.236291942824003</v>
      </c>
    </row>
    <row r="364" spans="1:13" x14ac:dyDescent="0.2">
      <c r="A364" s="2" t="s">
        <v>550</v>
      </c>
      <c r="B364" s="2">
        <v>163</v>
      </c>
      <c r="C364" s="2">
        <v>5</v>
      </c>
      <c r="D364" s="2">
        <v>1</v>
      </c>
      <c r="E364" s="2">
        <v>1</v>
      </c>
      <c r="F364" s="2">
        <v>1.64795558329206</v>
      </c>
      <c r="G364" s="2" t="s">
        <v>910</v>
      </c>
      <c r="H364" s="2" t="s">
        <v>911</v>
      </c>
      <c r="I364" s="2" t="s">
        <v>16</v>
      </c>
      <c r="J364" s="2" t="s">
        <v>912</v>
      </c>
      <c r="K364" s="2">
        <v>233.67740812501901</v>
      </c>
      <c r="L364" s="2">
        <v>235.325376000023</v>
      </c>
      <c r="M364" s="2">
        <v>60.236291942824003</v>
      </c>
    </row>
    <row r="365" spans="1:13" x14ac:dyDescent="0.2">
      <c r="A365" s="2" t="s">
        <v>550</v>
      </c>
      <c r="B365" s="2">
        <v>164</v>
      </c>
      <c r="C365" s="2">
        <v>10</v>
      </c>
      <c r="D365" s="2">
        <v>1</v>
      </c>
      <c r="E365" s="2">
        <v>1</v>
      </c>
      <c r="F365" s="2">
        <v>1.7462227917276301</v>
      </c>
      <c r="G365" s="2" t="s">
        <v>190</v>
      </c>
      <c r="H365" s="2" t="s">
        <v>913</v>
      </c>
      <c r="I365" s="2" t="s">
        <v>16</v>
      </c>
      <c r="J365" s="2" t="s">
        <v>914</v>
      </c>
      <c r="K365" s="2">
        <v>235.32889791671201</v>
      </c>
      <c r="L365" s="2">
        <v>237.07513487502001</v>
      </c>
      <c r="M365" s="2">
        <v>60.236291942824003</v>
      </c>
    </row>
    <row r="366" spans="1:13" x14ac:dyDescent="0.2">
      <c r="A366" s="2" t="s">
        <v>550</v>
      </c>
      <c r="B366" s="2">
        <v>165</v>
      </c>
      <c r="C366" s="2">
        <v>10</v>
      </c>
      <c r="D366" s="2">
        <v>1</v>
      </c>
      <c r="E366" s="2">
        <v>1</v>
      </c>
      <c r="F366" s="2">
        <v>1.5635414166608801</v>
      </c>
      <c r="G366" s="2" t="s">
        <v>915</v>
      </c>
      <c r="H366" s="2" t="s">
        <v>916</v>
      </c>
      <c r="I366" s="2" t="s">
        <v>16</v>
      </c>
      <c r="J366" s="2" t="s">
        <v>917</v>
      </c>
      <c r="K366" s="2">
        <v>237.07868499995701</v>
      </c>
      <c r="L366" s="2">
        <v>238.642240874935</v>
      </c>
      <c r="M366" s="2">
        <v>60.236291942824003</v>
      </c>
    </row>
    <row r="367" spans="1:13" x14ac:dyDescent="0.2">
      <c r="A367" s="2" t="s">
        <v>550</v>
      </c>
      <c r="B367" s="2">
        <v>166</v>
      </c>
      <c r="C367" s="2">
        <v>10</v>
      </c>
      <c r="D367" s="2">
        <v>1</v>
      </c>
      <c r="E367" s="2">
        <v>1</v>
      </c>
      <c r="F367" s="2">
        <v>1.57958462508395</v>
      </c>
      <c r="G367" s="2" t="s">
        <v>918</v>
      </c>
      <c r="H367" s="2" t="s">
        <v>919</v>
      </c>
      <c r="I367" s="2" t="s">
        <v>16</v>
      </c>
      <c r="J367" s="2" t="s">
        <v>920</v>
      </c>
      <c r="K367" s="2">
        <v>238.64581787504699</v>
      </c>
      <c r="L367" s="2">
        <v>240.22541670827201</v>
      </c>
      <c r="M367" s="2">
        <v>60.236291942824003</v>
      </c>
    </row>
    <row r="368" spans="1:13" x14ac:dyDescent="0.2">
      <c r="A368" s="2" t="s">
        <v>550</v>
      </c>
      <c r="B368" s="2">
        <v>167</v>
      </c>
      <c r="C368" s="2">
        <v>5</v>
      </c>
      <c r="D368" s="2">
        <v>1</v>
      </c>
      <c r="E368" s="2">
        <v>1</v>
      </c>
      <c r="F368" s="2">
        <v>1.1813992082607001</v>
      </c>
      <c r="G368" s="2" t="s">
        <v>921</v>
      </c>
      <c r="H368" s="2" t="s">
        <v>922</v>
      </c>
      <c r="I368" s="2" t="s">
        <v>16</v>
      </c>
      <c r="J368" s="2" t="s">
        <v>923</v>
      </c>
      <c r="K368" s="2">
        <v>240.227293750038</v>
      </c>
      <c r="L368" s="2">
        <v>241.40870470832999</v>
      </c>
      <c r="M368" s="2">
        <v>60.236291942824003</v>
      </c>
    </row>
    <row r="369" spans="1:13" x14ac:dyDescent="0.2">
      <c r="A369" s="2" t="s">
        <v>550</v>
      </c>
      <c r="B369" s="2">
        <v>168</v>
      </c>
      <c r="C369" s="2">
        <v>5</v>
      </c>
      <c r="D369" s="2">
        <v>1</v>
      </c>
      <c r="E369" s="2">
        <v>1</v>
      </c>
      <c r="F369" s="2">
        <v>1.28143620840274</v>
      </c>
      <c r="G369" s="2" t="s">
        <v>239</v>
      </c>
      <c r="H369" s="2" t="s">
        <v>544</v>
      </c>
      <c r="I369" s="2" t="s">
        <v>16</v>
      </c>
      <c r="J369" s="2" t="s">
        <v>924</v>
      </c>
      <c r="K369" s="2">
        <v>241.41068012500199</v>
      </c>
      <c r="L369" s="2">
        <v>242.692129499977</v>
      </c>
      <c r="M369" s="2">
        <v>60.236291942824003</v>
      </c>
    </row>
    <row r="370" spans="1:13" x14ac:dyDescent="0.2">
      <c r="A370" s="2" t="s">
        <v>550</v>
      </c>
      <c r="B370" s="2">
        <v>169</v>
      </c>
      <c r="C370" s="2">
        <v>5</v>
      </c>
      <c r="D370" s="2">
        <v>1</v>
      </c>
      <c r="E370" s="2">
        <v>1</v>
      </c>
      <c r="F370" s="2">
        <v>1.3479821250075501</v>
      </c>
      <c r="G370" s="2" t="s">
        <v>925</v>
      </c>
      <c r="H370" s="2" t="s">
        <v>926</v>
      </c>
      <c r="I370" s="2" t="s">
        <v>16</v>
      </c>
      <c r="J370" s="2" t="s">
        <v>927</v>
      </c>
      <c r="K370" s="2">
        <v>242.694081166643</v>
      </c>
      <c r="L370" s="2">
        <v>244.04207620828001</v>
      </c>
      <c r="M370" s="2">
        <v>60.236291942824003</v>
      </c>
    </row>
    <row r="371" spans="1:13" x14ac:dyDescent="0.2">
      <c r="A371" s="2" t="s">
        <v>550</v>
      </c>
      <c r="B371" s="2">
        <v>170</v>
      </c>
      <c r="C371" s="2">
        <v>5</v>
      </c>
      <c r="D371" s="2">
        <v>1</v>
      </c>
      <c r="E371" s="2">
        <v>1</v>
      </c>
      <c r="F371" s="2">
        <v>1.9487372082658101</v>
      </c>
      <c r="G371" s="2" t="s">
        <v>928</v>
      </c>
      <c r="H371" s="2" t="s">
        <v>929</v>
      </c>
      <c r="I371" s="2" t="s">
        <v>16</v>
      </c>
      <c r="J371" s="2" t="s">
        <v>930</v>
      </c>
      <c r="K371" s="2">
        <v>244.04393195838199</v>
      </c>
      <c r="L371" s="2">
        <v>245.99267991667199</v>
      </c>
      <c r="M371" s="2">
        <v>60.236291942824003</v>
      </c>
    </row>
    <row r="372" spans="1:13" x14ac:dyDescent="0.2">
      <c r="A372" s="2" t="s">
        <v>550</v>
      </c>
      <c r="B372" s="2">
        <v>171</v>
      </c>
      <c r="C372" s="2">
        <v>5</v>
      </c>
      <c r="D372" s="2">
        <v>1</v>
      </c>
      <c r="E372" s="2">
        <v>1</v>
      </c>
      <c r="F372" s="2">
        <v>1.06399249995593</v>
      </c>
      <c r="G372" s="2" t="s">
        <v>28</v>
      </c>
      <c r="H372" s="2" t="s">
        <v>931</v>
      </c>
      <c r="I372" s="2" t="s">
        <v>16</v>
      </c>
      <c r="J372" s="2" t="s">
        <v>932</v>
      </c>
      <c r="K372" s="2">
        <v>245.99450083333099</v>
      </c>
      <c r="L372" s="2">
        <v>247.05850874993499</v>
      </c>
      <c r="M372" s="2">
        <v>60.236291942824003</v>
      </c>
    </row>
    <row r="373" spans="1:13" x14ac:dyDescent="0.2">
      <c r="A373" s="2" t="s">
        <v>550</v>
      </c>
      <c r="B373" s="2">
        <v>172</v>
      </c>
      <c r="C373" s="2">
        <v>10</v>
      </c>
      <c r="D373" s="2">
        <v>3</v>
      </c>
      <c r="E373" s="2">
        <v>0</v>
      </c>
      <c r="F373" s="2">
        <v>3.3295040000230101</v>
      </c>
      <c r="G373" s="2" t="s">
        <v>933</v>
      </c>
      <c r="H373" s="2" t="s">
        <v>934</v>
      </c>
      <c r="I373" s="2" t="s">
        <v>935</v>
      </c>
      <c r="J373" s="2" t="s">
        <v>936</v>
      </c>
      <c r="K373" s="2">
        <v>247.06219754170201</v>
      </c>
      <c r="L373" s="2">
        <v>250.391725874972</v>
      </c>
      <c r="M373" s="2">
        <v>60.236291942824003</v>
      </c>
    </row>
    <row r="374" spans="1:13" x14ac:dyDescent="0.2">
      <c r="A374" s="2" t="s">
        <v>550</v>
      </c>
      <c r="B374" s="2">
        <v>173</v>
      </c>
      <c r="C374" s="2">
        <v>10</v>
      </c>
      <c r="D374" s="2">
        <v>1</v>
      </c>
      <c r="E374" s="2">
        <v>1</v>
      </c>
      <c r="F374" s="2">
        <v>1.1631392083363601</v>
      </c>
      <c r="G374" s="2" t="s">
        <v>793</v>
      </c>
      <c r="H374" s="2" t="s">
        <v>29</v>
      </c>
      <c r="I374" s="2" t="s">
        <v>16</v>
      </c>
      <c r="J374" s="2" t="s">
        <v>937</v>
      </c>
      <c r="K374" s="2">
        <v>250.39559583331001</v>
      </c>
      <c r="L374" s="2">
        <v>251.55875079170801</v>
      </c>
      <c r="M374" s="2">
        <v>60.236291942824003</v>
      </c>
    </row>
    <row r="375" spans="1:13" x14ac:dyDescent="0.2">
      <c r="A375" s="2" t="s">
        <v>550</v>
      </c>
      <c r="B375" s="2">
        <v>174</v>
      </c>
      <c r="C375" s="2">
        <v>10</v>
      </c>
      <c r="D375" s="2">
        <v>1</v>
      </c>
      <c r="E375" s="2">
        <v>1</v>
      </c>
      <c r="F375" s="2">
        <v>2.49634075001814</v>
      </c>
      <c r="G375" s="2" t="s">
        <v>491</v>
      </c>
      <c r="H375" s="2" t="s">
        <v>275</v>
      </c>
      <c r="I375" s="2" t="s">
        <v>16</v>
      </c>
      <c r="J375" s="2" t="s">
        <v>938</v>
      </c>
      <c r="K375" s="2">
        <v>251.56240387493699</v>
      </c>
      <c r="L375" s="2">
        <v>254.05875837500199</v>
      </c>
      <c r="M375" s="2">
        <v>60.236291942824003</v>
      </c>
    </row>
    <row r="376" spans="1:13" x14ac:dyDescent="0.2">
      <c r="A376" s="2" t="s">
        <v>550</v>
      </c>
      <c r="B376" s="2">
        <v>175</v>
      </c>
      <c r="C376" s="2">
        <v>10</v>
      </c>
      <c r="D376" s="2">
        <v>1</v>
      </c>
      <c r="E376" s="2">
        <v>1</v>
      </c>
      <c r="F376" s="2">
        <v>1.06284533324651</v>
      </c>
      <c r="G376" s="2" t="s">
        <v>939</v>
      </c>
      <c r="H376" s="2" t="s">
        <v>377</v>
      </c>
      <c r="I376" s="2" t="s">
        <v>16</v>
      </c>
      <c r="J376" s="2" t="s">
        <v>940</v>
      </c>
      <c r="K376" s="2">
        <v>254.06234779162301</v>
      </c>
      <c r="L376" s="2">
        <v>255.125206041615</v>
      </c>
      <c r="M376" s="2">
        <v>60.236291942824003</v>
      </c>
    </row>
    <row r="377" spans="1:13" x14ac:dyDescent="0.2">
      <c r="A377" s="2" t="s">
        <v>550</v>
      </c>
      <c r="B377" s="2">
        <v>176</v>
      </c>
      <c r="C377" s="2">
        <v>5</v>
      </c>
      <c r="D377" s="2">
        <v>1</v>
      </c>
      <c r="E377" s="2">
        <v>1</v>
      </c>
      <c r="F377" s="2">
        <v>1.2983451667241801</v>
      </c>
      <c r="G377" s="2" t="s">
        <v>941</v>
      </c>
      <c r="H377" s="2" t="s">
        <v>942</v>
      </c>
      <c r="I377" s="2" t="s">
        <v>16</v>
      </c>
      <c r="J377" s="2" t="s">
        <v>943</v>
      </c>
      <c r="K377" s="2">
        <v>255.12707187503099</v>
      </c>
      <c r="L377" s="2">
        <v>256.42542870831699</v>
      </c>
      <c r="M377" s="2">
        <v>60.236291942824003</v>
      </c>
    </row>
    <row r="378" spans="1:13" x14ac:dyDescent="0.2">
      <c r="A378" s="2" t="s">
        <v>550</v>
      </c>
      <c r="B378" s="2">
        <v>177</v>
      </c>
      <c r="C378" s="2">
        <v>10</v>
      </c>
      <c r="D378" s="2">
        <v>1</v>
      </c>
      <c r="E378" s="2">
        <v>1</v>
      </c>
      <c r="F378" s="2">
        <v>1.62977512506768</v>
      </c>
      <c r="G378" s="2" t="s">
        <v>944</v>
      </c>
      <c r="H378" s="2" t="s">
        <v>945</v>
      </c>
      <c r="I378" s="2" t="s">
        <v>16</v>
      </c>
      <c r="J378" s="2" t="s">
        <v>946</v>
      </c>
      <c r="K378" s="2">
        <v>256.428906666697</v>
      </c>
      <c r="L378" s="2">
        <v>258.05869529163499</v>
      </c>
      <c r="M378" s="2">
        <v>60.236291942824003</v>
      </c>
    </row>
    <row r="379" spans="1:13" x14ac:dyDescent="0.2">
      <c r="A379" s="2" t="s">
        <v>550</v>
      </c>
      <c r="B379" s="2">
        <v>178</v>
      </c>
      <c r="C379" s="2">
        <v>5</v>
      </c>
      <c r="D379" s="2">
        <v>1</v>
      </c>
      <c r="E379" s="2">
        <v>1</v>
      </c>
      <c r="F379" s="2">
        <v>1.13100362499245</v>
      </c>
      <c r="G379" s="2" t="s">
        <v>947</v>
      </c>
      <c r="H379" s="2" t="s">
        <v>388</v>
      </c>
      <c r="I379" s="2" t="s">
        <v>16</v>
      </c>
      <c r="J379" s="2" t="s">
        <v>948</v>
      </c>
      <c r="K379" s="2">
        <v>258.06068145833001</v>
      </c>
      <c r="L379" s="2">
        <v>259.19170062500098</v>
      </c>
      <c r="M379" s="2">
        <v>60.236291942824003</v>
      </c>
    </row>
    <row r="380" spans="1:13" x14ac:dyDescent="0.2">
      <c r="A380" s="2" t="s">
        <v>550</v>
      </c>
      <c r="B380" s="2">
        <v>179</v>
      </c>
      <c r="C380" s="2">
        <v>5</v>
      </c>
      <c r="D380" s="2">
        <v>1</v>
      </c>
      <c r="E380" s="2">
        <v>1</v>
      </c>
      <c r="F380" s="2">
        <v>1.1815767916850799</v>
      </c>
      <c r="G380" s="2" t="s">
        <v>577</v>
      </c>
      <c r="H380" s="2" t="s">
        <v>790</v>
      </c>
      <c r="I380" s="2" t="s">
        <v>16</v>
      </c>
      <c r="J380" s="2" t="s">
        <v>949</v>
      </c>
      <c r="K380" s="2">
        <v>259.193710749969</v>
      </c>
      <c r="L380" s="2">
        <v>260.37530054163699</v>
      </c>
      <c r="M380" s="2">
        <v>60.236291942824003</v>
      </c>
    </row>
    <row r="381" spans="1:13" x14ac:dyDescent="0.2">
      <c r="A381" s="2" t="s">
        <v>550</v>
      </c>
      <c r="B381" s="2">
        <v>180</v>
      </c>
      <c r="C381" s="2">
        <v>5</v>
      </c>
      <c r="D381" s="2">
        <v>1</v>
      </c>
      <c r="E381" s="2">
        <v>1</v>
      </c>
      <c r="F381" s="2">
        <v>1.1979069999651999</v>
      </c>
      <c r="G381" s="2" t="s">
        <v>359</v>
      </c>
      <c r="H381" s="2" t="s">
        <v>306</v>
      </c>
      <c r="I381" s="2" t="s">
        <v>16</v>
      </c>
      <c r="J381" s="2" t="s">
        <v>950</v>
      </c>
      <c r="K381" s="2">
        <v>260.37730912503298</v>
      </c>
      <c r="L381" s="2">
        <v>261.57522779167601</v>
      </c>
      <c r="M381" s="2">
        <v>60.236291942824003</v>
      </c>
    </row>
    <row r="382" spans="1:13" x14ac:dyDescent="0.2">
      <c r="A382" s="2" t="s">
        <v>550</v>
      </c>
      <c r="B382" s="2">
        <v>181</v>
      </c>
      <c r="C382" s="2">
        <v>5</v>
      </c>
      <c r="D382" s="2">
        <v>1</v>
      </c>
      <c r="E382" s="2">
        <v>1</v>
      </c>
      <c r="F382" s="2">
        <v>1.4481995833339201</v>
      </c>
      <c r="G382" s="2" t="s">
        <v>300</v>
      </c>
      <c r="H382" s="2" t="s">
        <v>80</v>
      </c>
      <c r="I382" s="2" t="s">
        <v>16</v>
      </c>
      <c r="J382" s="2" t="s">
        <v>951</v>
      </c>
      <c r="K382" s="2">
        <v>261.57708795834299</v>
      </c>
      <c r="L382" s="2">
        <v>263.02530029159999</v>
      </c>
      <c r="M382" s="2">
        <v>60.236291942824003</v>
      </c>
    </row>
    <row r="383" spans="1:13" x14ac:dyDescent="0.2">
      <c r="A383" s="2" t="s">
        <v>550</v>
      </c>
      <c r="B383" s="2">
        <v>182</v>
      </c>
      <c r="C383" s="2">
        <v>10</v>
      </c>
      <c r="D383" s="2">
        <v>1</v>
      </c>
      <c r="E383" s="2">
        <v>1</v>
      </c>
      <c r="F383" s="2">
        <v>2.3463451249990599</v>
      </c>
      <c r="G383" s="2" t="s">
        <v>952</v>
      </c>
      <c r="H383" s="2" t="s">
        <v>133</v>
      </c>
      <c r="I383" s="2" t="s">
        <v>16</v>
      </c>
      <c r="J383" s="2" t="s">
        <v>953</v>
      </c>
      <c r="K383" s="2">
        <v>263.02882524998898</v>
      </c>
      <c r="L383" s="2">
        <v>265.37518229160901</v>
      </c>
      <c r="M383" s="2">
        <v>60.236291942824003</v>
      </c>
    </row>
    <row r="384" spans="1:13" x14ac:dyDescent="0.2">
      <c r="A384" s="2" t="s">
        <v>550</v>
      </c>
      <c r="B384" s="2">
        <v>183</v>
      </c>
      <c r="C384" s="2">
        <v>5</v>
      </c>
      <c r="D384" s="2">
        <v>1</v>
      </c>
      <c r="E384" s="2">
        <v>1</v>
      </c>
      <c r="F384" s="2">
        <v>1.38147691660561</v>
      </c>
      <c r="G384" s="2" t="s">
        <v>720</v>
      </c>
      <c r="H384" s="2" t="s">
        <v>954</v>
      </c>
      <c r="I384" s="2" t="s">
        <v>16</v>
      </c>
      <c r="J384" s="2" t="s">
        <v>955</v>
      </c>
      <c r="K384" s="2">
        <v>265.37708491669002</v>
      </c>
      <c r="L384" s="2">
        <v>266.75857633329002</v>
      </c>
      <c r="M384" s="2">
        <v>60.236291942824003</v>
      </c>
    </row>
    <row r="385" spans="1:13" x14ac:dyDescent="0.2">
      <c r="A385" s="2" t="s">
        <v>550</v>
      </c>
      <c r="B385" s="2">
        <v>184</v>
      </c>
      <c r="C385" s="2">
        <v>10</v>
      </c>
      <c r="D385" s="2">
        <v>1</v>
      </c>
      <c r="E385" s="2">
        <v>1</v>
      </c>
      <c r="F385" s="2">
        <v>1.52978629176505</v>
      </c>
      <c r="G385" s="2" t="s">
        <v>956</v>
      </c>
      <c r="H385" s="2" t="s">
        <v>80</v>
      </c>
      <c r="I385" s="2" t="s">
        <v>16</v>
      </c>
      <c r="J385" s="2" t="s">
        <v>957</v>
      </c>
      <c r="K385" s="2">
        <v>266.762280249968</v>
      </c>
      <c r="L385" s="2">
        <v>268.29207979166</v>
      </c>
      <c r="M385" s="2">
        <v>60.236291942824003</v>
      </c>
    </row>
    <row r="386" spans="1:13" x14ac:dyDescent="0.2">
      <c r="A386" s="2" t="s">
        <v>550</v>
      </c>
      <c r="B386" s="2">
        <v>185</v>
      </c>
      <c r="C386" s="2">
        <v>5</v>
      </c>
      <c r="D386" s="2">
        <v>1</v>
      </c>
      <c r="E386" s="2">
        <v>1</v>
      </c>
      <c r="F386" s="2">
        <v>1.59787658334244</v>
      </c>
      <c r="G386" s="2" t="s">
        <v>958</v>
      </c>
      <c r="H386" s="2" t="s">
        <v>959</v>
      </c>
      <c r="I386" s="2" t="s">
        <v>16</v>
      </c>
      <c r="J386" s="2" t="s">
        <v>960</v>
      </c>
      <c r="K386" s="2">
        <v>268.29407245828799</v>
      </c>
      <c r="L386" s="2">
        <v>269.891962166643</v>
      </c>
      <c r="M386" s="2">
        <v>60.236291942824003</v>
      </c>
    </row>
    <row r="387" spans="1:13" x14ac:dyDescent="0.2">
      <c r="A387" s="2" t="s">
        <v>550</v>
      </c>
      <c r="B387" s="2">
        <v>186</v>
      </c>
      <c r="C387" s="2">
        <v>10</v>
      </c>
      <c r="D387" s="2">
        <v>1</v>
      </c>
      <c r="E387" s="2">
        <v>1</v>
      </c>
      <c r="F387" s="2">
        <v>1.4470751666231101</v>
      </c>
      <c r="G387" s="2" t="s">
        <v>147</v>
      </c>
      <c r="H387" s="2" t="s">
        <v>961</v>
      </c>
      <c r="I387" s="2" t="s">
        <v>16</v>
      </c>
      <c r="J387" s="2" t="s">
        <v>962</v>
      </c>
      <c r="K387" s="2">
        <v>269.89546324999498</v>
      </c>
      <c r="L387" s="2">
        <v>271.34255299996602</v>
      </c>
      <c r="M387" s="2">
        <v>60.236291942824003</v>
      </c>
    </row>
    <row r="388" spans="1:13" x14ac:dyDescent="0.2">
      <c r="A388" s="2" t="s">
        <v>550</v>
      </c>
      <c r="B388" s="2">
        <v>187</v>
      </c>
      <c r="C388" s="2">
        <v>5</v>
      </c>
      <c r="D388" s="2">
        <v>1</v>
      </c>
      <c r="E388" s="2">
        <v>1</v>
      </c>
      <c r="F388" s="2">
        <v>1.23075458337553</v>
      </c>
      <c r="G388" s="2" t="s">
        <v>395</v>
      </c>
      <c r="H388" s="2" t="s">
        <v>963</v>
      </c>
      <c r="I388" s="2" t="s">
        <v>16</v>
      </c>
      <c r="J388" s="2" t="s">
        <v>964</v>
      </c>
      <c r="K388" s="2">
        <v>271.344520000042</v>
      </c>
      <c r="L388" s="2">
        <v>272.57528741669398</v>
      </c>
      <c r="M388" s="2">
        <v>60.236291942824003</v>
      </c>
    </row>
    <row r="389" spans="1:13" x14ac:dyDescent="0.2">
      <c r="A389" s="2" t="s">
        <v>550</v>
      </c>
      <c r="B389" s="2">
        <v>188</v>
      </c>
      <c r="C389" s="2">
        <v>10</v>
      </c>
      <c r="D389" s="2">
        <v>1</v>
      </c>
      <c r="E389" s="2">
        <v>1</v>
      </c>
      <c r="F389" s="2">
        <v>2.0464797500753802</v>
      </c>
      <c r="G389" s="2" t="s">
        <v>965</v>
      </c>
      <c r="H389" s="2" t="s">
        <v>966</v>
      </c>
      <c r="I389" s="2" t="s">
        <v>16</v>
      </c>
      <c r="J389" s="2" t="s">
        <v>967</v>
      </c>
      <c r="K389" s="2">
        <v>272.57890758337498</v>
      </c>
      <c r="L389" s="2">
        <v>274.62540045834601</v>
      </c>
      <c r="M389" s="2">
        <v>60.236291942824003</v>
      </c>
    </row>
    <row r="390" spans="1:13" x14ac:dyDescent="0.2">
      <c r="A390" s="2" t="s">
        <v>550</v>
      </c>
      <c r="B390" s="2">
        <v>189</v>
      </c>
      <c r="C390" s="2">
        <v>5</v>
      </c>
      <c r="D390" s="2">
        <v>1</v>
      </c>
      <c r="E390" s="2">
        <v>1</v>
      </c>
      <c r="F390" s="2">
        <v>1.2812424583826201</v>
      </c>
      <c r="G390" s="2" t="s">
        <v>968</v>
      </c>
      <c r="H390" s="2" t="s">
        <v>881</v>
      </c>
      <c r="I390" s="2" t="s">
        <v>16</v>
      </c>
      <c r="J390" s="2" t="s">
        <v>969</v>
      </c>
      <c r="K390" s="2">
        <v>274.62726429163001</v>
      </c>
      <c r="L390" s="2">
        <v>275.90852041670598</v>
      </c>
      <c r="M390" s="2">
        <v>60.236291942824003</v>
      </c>
    </row>
    <row r="391" spans="1:13" x14ac:dyDescent="0.2">
      <c r="A391" s="2" t="s">
        <v>550</v>
      </c>
      <c r="B391" s="2">
        <v>190</v>
      </c>
      <c r="C391" s="2">
        <v>10</v>
      </c>
      <c r="D391" s="2">
        <v>1</v>
      </c>
      <c r="E391" s="2">
        <v>1</v>
      </c>
      <c r="F391" s="2">
        <v>1.9633044583024499</v>
      </c>
      <c r="G391" s="2" t="s">
        <v>970</v>
      </c>
      <c r="H391" s="2" t="s">
        <v>919</v>
      </c>
      <c r="I391" s="2" t="s">
        <v>16</v>
      </c>
      <c r="J391" s="2" t="s">
        <v>971</v>
      </c>
      <c r="K391" s="2">
        <v>275.912055166671</v>
      </c>
      <c r="L391" s="2">
        <v>277.87538229161902</v>
      </c>
      <c r="M391" s="2">
        <v>60.236291942824003</v>
      </c>
    </row>
    <row r="392" spans="1:13" x14ac:dyDescent="0.2">
      <c r="A392" s="2" t="s">
        <v>550</v>
      </c>
      <c r="B392" s="2">
        <v>191</v>
      </c>
      <c r="C392" s="2">
        <v>10</v>
      </c>
      <c r="D392" s="2">
        <v>1</v>
      </c>
      <c r="E392" s="2">
        <v>1</v>
      </c>
      <c r="F392" s="2">
        <v>2.8957791667198798</v>
      </c>
      <c r="G392" s="2" t="s">
        <v>972</v>
      </c>
      <c r="H392" s="2" t="s">
        <v>973</v>
      </c>
      <c r="I392" s="2" t="s">
        <v>16</v>
      </c>
      <c r="J392" s="2" t="s">
        <v>974</v>
      </c>
      <c r="K392" s="2">
        <v>277.879310083343</v>
      </c>
      <c r="L392" s="2">
        <v>280.77510604169203</v>
      </c>
      <c r="M392" s="2">
        <v>60.236291942824003</v>
      </c>
    </row>
    <row r="393" spans="1:13" x14ac:dyDescent="0.2">
      <c r="A393" s="2" t="s">
        <v>550</v>
      </c>
      <c r="B393" s="2">
        <v>192</v>
      </c>
      <c r="C393" s="2">
        <v>5</v>
      </c>
      <c r="D393" s="2">
        <v>1</v>
      </c>
      <c r="E393" s="2">
        <v>1</v>
      </c>
      <c r="F393" s="2">
        <v>1.2148874583654099</v>
      </c>
      <c r="G393" s="2" t="s">
        <v>975</v>
      </c>
      <c r="H393" s="2" t="s">
        <v>358</v>
      </c>
      <c r="I393" s="2" t="s">
        <v>16</v>
      </c>
      <c r="J393" s="2" t="s">
        <v>976</v>
      </c>
      <c r="K393" s="2">
        <v>280.77712333330402</v>
      </c>
      <c r="L393" s="2">
        <v>281.99202541669399</v>
      </c>
      <c r="M393" s="2">
        <v>60.236291942824003</v>
      </c>
    </row>
    <row r="394" spans="1:13" x14ac:dyDescent="0.2">
      <c r="A394" s="2" t="s">
        <v>550</v>
      </c>
      <c r="B394" s="2">
        <v>193</v>
      </c>
      <c r="C394" s="2">
        <v>10</v>
      </c>
      <c r="D394" s="2">
        <v>1</v>
      </c>
      <c r="E394" s="2">
        <v>1</v>
      </c>
      <c r="F394" s="2">
        <v>2.4127680833917098</v>
      </c>
      <c r="G394" s="2" t="s">
        <v>977</v>
      </c>
      <c r="H394" s="2" t="s">
        <v>978</v>
      </c>
      <c r="I394" s="2" t="s">
        <v>16</v>
      </c>
      <c r="J394" s="2" t="s">
        <v>979</v>
      </c>
      <c r="K394" s="2">
        <v>281.995773791685</v>
      </c>
      <c r="L394" s="2">
        <v>284.40855699998798</v>
      </c>
      <c r="M394" s="2">
        <v>60.236291942824003</v>
      </c>
    </row>
    <row r="395" spans="1:13" x14ac:dyDescent="0.2">
      <c r="A395" s="2" t="s">
        <v>550</v>
      </c>
      <c r="B395" s="2">
        <v>194</v>
      </c>
      <c r="C395" s="2">
        <v>10</v>
      </c>
      <c r="D395" s="2">
        <v>1</v>
      </c>
      <c r="E395" s="2">
        <v>1</v>
      </c>
      <c r="F395" s="2">
        <v>1.61301912495401</v>
      </c>
      <c r="G395" s="2" t="s">
        <v>32</v>
      </c>
      <c r="H395" s="2" t="s">
        <v>583</v>
      </c>
      <c r="I395" s="2" t="s">
        <v>16</v>
      </c>
      <c r="J395" s="2" t="s">
        <v>980</v>
      </c>
      <c r="K395" s="2">
        <v>284.41223262494901</v>
      </c>
      <c r="L395" s="2">
        <v>286.025264291675</v>
      </c>
      <c r="M395" s="2">
        <v>60.236291942824003</v>
      </c>
    </row>
    <row r="396" spans="1:13" x14ac:dyDescent="0.2">
      <c r="A396" s="2" t="s">
        <v>550</v>
      </c>
      <c r="B396" s="2">
        <v>195</v>
      </c>
      <c r="C396" s="2">
        <v>5</v>
      </c>
      <c r="D396" s="2">
        <v>1</v>
      </c>
      <c r="E396" s="2">
        <v>1</v>
      </c>
      <c r="F396" s="2">
        <v>1.29803845833521</v>
      </c>
      <c r="G396" s="2" t="s">
        <v>981</v>
      </c>
      <c r="H396" s="2" t="s">
        <v>982</v>
      </c>
      <c r="I396" s="2" t="s">
        <v>16</v>
      </c>
      <c r="J396" s="2" t="s">
        <v>983</v>
      </c>
      <c r="K396" s="2">
        <v>286.02724087494403</v>
      </c>
      <c r="L396" s="2">
        <v>287.32529325003298</v>
      </c>
      <c r="M396" s="2">
        <v>60.236291942824003</v>
      </c>
    </row>
    <row r="397" spans="1:13" x14ac:dyDescent="0.2">
      <c r="A397" s="2" t="s">
        <v>550</v>
      </c>
      <c r="B397" s="2">
        <v>196</v>
      </c>
      <c r="C397" s="2">
        <v>5</v>
      </c>
      <c r="D397" s="2">
        <v>1</v>
      </c>
      <c r="E397" s="2">
        <v>1</v>
      </c>
      <c r="F397" s="2">
        <v>1.2146399166667801</v>
      </c>
      <c r="G397" s="2" t="s">
        <v>205</v>
      </c>
      <c r="H397" s="2" t="s">
        <v>315</v>
      </c>
      <c r="I397" s="2" t="s">
        <v>16</v>
      </c>
      <c r="J397" s="2" t="s">
        <v>984</v>
      </c>
      <c r="K397" s="2">
        <v>287.327141041635</v>
      </c>
      <c r="L397" s="2">
        <v>288.54179637495002</v>
      </c>
      <c r="M397" s="2">
        <v>60.236291942824003</v>
      </c>
    </row>
    <row r="398" spans="1:13" x14ac:dyDescent="0.2">
      <c r="A398" s="2" t="s">
        <v>550</v>
      </c>
      <c r="B398" s="2">
        <v>197</v>
      </c>
      <c r="C398" s="2">
        <v>5</v>
      </c>
      <c r="D398" s="2">
        <v>1</v>
      </c>
      <c r="E398" s="2">
        <v>1</v>
      </c>
      <c r="F398" s="2">
        <v>0.81486041669268205</v>
      </c>
      <c r="G398" s="2" t="s">
        <v>548</v>
      </c>
      <c r="H398" s="2" t="s">
        <v>406</v>
      </c>
      <c r="I398" s="2" t="s">
        <v>16</v>
      </c>
      <c r="J398" s="2" t="s">
        <v>985</v>
      </c>
      <c r="K398" s="2">
        <v>288.543745749979</v>
      </c>
      <c r="L398" s="2">
        <v>289.358620958286</v>
      </c>
      <c r="M398" s="2">
        <v>60.236291942824003</v>
      </c>
    </row>
    <row r="399" spans="1:13" x14ac:dyDescent="0.2">
      <c r="A399" s="2" t="s">
        <v>550</v>
      </c>
      <c r="B399" s="2">
        <v>198</v>
      </c>
      <c r="C399" s="2">
        <v>5</v>
      </c>
      <c r="D399" s="2">
        <v>1</v>
      </c>
      <c r="E399" s="2">
        <v>1</v>
      </c>
      <c r="F399" s="2">
        <v>1.81456137506757</v>
      </c>
      <c r="G399" s="2" t="s">
        <v>986</v>
      </c>
      <c r="H399" s="2" t="s">
        <v>987</v>
      </c>
      <c r="I399" s="2" t="s">
        <v>16</v>
      </c>
      <c r="J399" s="2" t="s">
        <v>988</v>
      </c>
      <c r="K399" s="2">
        <v>289.36062845832203</v>
      </c>
      <c r="L399" s="2">
        <v>291.17520291660901</v>
      </c>
      <c r="M399" s="2">
        <v>60.236291942824003</v>
      </c>
    </row>
    <row r="400" spans="1:13" x14ac:dyDescent="0.2">
      <c r="A400" s="2" t="s">
        <v>550</v>
      </c>
      <c r="B400" s="2">
        <v>199</v>
      </c>
      <c r="C400" s="2">
        <v>5</v>
      </c>
      <c r="D400" s="2">
        <v>1</v>
      </c>
      <c r="E400" s="2">
        <v>1</v>
      </c>
      <c r="F400" s="2">
        <v>1.3645430833566901</v>
      </c>
      <c r="G400" s="2" t="s">
        <v>989</v>
      </c>
      <c r="H400" s="2" t="s">
        <v>990</v>
      </c>
      <c r="I400" s="2" t="s">
        <v>16</v>
      </c>
      <c r="J400" s="2" t="s">
        <v>991</v>
      </c>
      <c r="K400" s="2">
        <v>291.17720883328002</v>
      </c>
      <c r="L400" s="2">
        <v>292.54176745831501</v>
      </c>
      <c r="M400" s="2">
        <v>60.236291942824003</v>
      </c>
    </row>
    <row r="401" spans="1:13" x14ac:dyDescent="0.2">
      <c r="A401" s="2" t="s">
        <v>550</v>
      </c>
      <c r="B401" s="2">
        <v>200</v>
      </c>
      <c r="C401" s="2">
        <v>10</v>
      </c>
      <c r="D401" s="2">
        <v>1</v>
      </c>
      <c r="E401" s="2">
        <v>1</v>
      </c>
      <c r="F401" s="2">
        <v>1.6462094583548601</v>
      </c>
      <c r="G401" s="2" t="s">
        <v>14</v>
      </c>
      <c r="H401" s="2" t="s">
        <v>992</v>
      </c>
      <c r="I401" s="2" t="s">
        <v>16</v>
      </c>
      <c r="J401" s="2" t="s">
        <v>993</v>
      </c>
      <c r="K401" s="2">
        <v>292.54540187504602</v>
      </c>
      <c r="L401" s="2">
        <v>294.19162562501202</v>
      </c>
      <c r="M401" s="2">
        <v>60.236291942824003</v>
      </c>
    </row>
    <row r="402" spans="1:13" x14ac:dyDescent="0.2">
      <c r="A402" s="2" t="s">
        <v>994</v>
      </c>
      <c r="B402" s="2">
        <v>1</v>
      </c>
      <c r="C402" s="2">
        <v>5</v>
      </c>
      <c r="D402" s="2">
        <v>1</v>
      </c>
      <c r="E402" s="2">
        <v>1</v>
      </c>
      <c r="F402" s="2">
        <v>2.1083014167379601</v>
      </c>
      <c r="G402" s="2" t="s">
        <v>995</v>
      </c>
      <c r="H402" s="2" t="s">
        <v>996</v>
      </c>
      <c r="I402" s="2" t="s">
        <v>16</v>
      </c>
      <c r="J402" s="2" t="s">
        <v>997</v>
      </c>
      <c r="K402" s="2">
        <v>1.41819870832842</v>
      </c>
      <c r="L402" s="2">
        <v>3.5265485416166502</v>
      </c>
      <c r="M402" s="2">
        <v>60.253229262041003</v>
      </c>
    </row>
    <row r="403" spans="1:13" x14ac:dyDescent="0.2">
      <c r="A403" s="2" t="s">
        <v>994</v>
      </c>
      <c r="B403" s="2">
        <v>2</v>
      </c>
      <c r="C403" s="2">
        <v>5</v>
      </c>
      <c r="D403" s="2">
        <v>1</v>
      </c>
      <c r="E403" s="2">
        <v>1</v>
      </c>
      <c r="F403" s="2">
        <v>1.1089952082838901</v>
      </c>
      <c r="G403" s="2" t="s">
        <v>998</v>
      </c>
      <c r="H403" s="2" t="s">
        <v>267</v>
      </c>
      <c r="I403" s="2" t="s">
        <v>16</v>
      </c>
      <c r="J403" s="2" t="s">
        <v>999</v>
      </c>
      <c r="K403" s="2">
        <v>3.5326239583082502</v>
      </c>
      <c r="L403" s="2">
        <v>4.6416501250350901</v>
      </c>
      <c r="M403" s="2">
        <v>60.253229262041003</v>
      </c>
    </row>
    <row r="404" spans="1:13" x14ac:dyDescent="0.2">
      <c r="A404" s="2" t="s">
        <v>994</v>
      </c>
      <c r="B404" s="2">
        <v>3</v>
      </c>
      <c r="C404" s="2">
        <v>5</v>
      </c>
      <c r="D404" s="2">
        <v>1</v>
      </c>
      <c r="E404" s="2">
        <v>1</v>
      </c>
      <c r="F404" s="2">
        <v>1.3134132915874901</v>
      </c>
      <c r="G404" s="2" t="s">
        <v>900</v>
      </c>
      <c r="H404" s="2" t="s">
        <v>1000</v>
      </c>
      <c r="I404" s="2" t="s">
        <v>16</v>
      </c>
      <c r="J404" s="2" t="s">
        <v>1001</v>
      </c>
      <c r="K404" s="2">
        <v>4.64545804169029</v>
      </c>
      <c r="L404" s="2">
        <v>5.9589186250232196</v>
      </c>
      <c r="M404" s="2">
        <v>60.253229262041003</v>
      </c>
    </row>
    <row r="405" spans="1:13" x14ac:dyDescent="0.2">
      <c r="A405" s="2" t="s">
        <v>994</v>
      </c>
      <c r="B405" s="2">
        <v>4</v>
      </c>
      <c r="C405" s="2">
        <v>5</v>
      </c>
      <c r="D405" s="2">
        <v>1</v>
      </c>
      <c r="E405" s="2">
        <v>1</v>
      </c>
      <c r="F405" s="2">
        <v>1.1952527499524901</v>
      </c>
      <c r="G405" s="2" t="s">
        <v>765</v>
      </c>
      <c r="H405" s="2" t="s">
        <v>789</v>
      </c>
      <c r="I405" s="2" t="s">
        <v>16</v>
      </c>
      <c r="J405" s="2" t="s">
        <v>1002</v>
      </c>
      <c r="K405" s="2">
        <v>5.9634054999332902</v>
      </c>
      <c r="L405" s="2">
        <v>7.1587008750066197</v>
      </c>
      <c r="M405" s="2">
        <v>60.253229262041003</v>
      </c>
    </row>
    <row r="406" spans="1:13" x14ac:dyDescent="0.2">
      <c r="A406" s="2" t="s">
        <v>994</v>
      </c>
      <c r="B406" s="2">
        <v>5</v>
      </c>
      <c r="C406" s="2">
        <v>5</v>
      </c>
      <c r="D406" s="2">
        <v>1</v>
      </c>
      <c r="E406" s="2">
        <v>1</v>
      </c>
      <c r="F406" s="2">
        <v>1.07759416662157</v>
      </c>
      <c r="G406" s="2" t="s">
        <v>921</v>
      </c>
      <c r="H406" s="2" t="s">
        <v>1003</v>
      </c>
      <c r="I406" s="2" t="s">
        <v>16</v>
      </c>
      <c r="J406" s="2" t="s">
        <v>1004</v>
      </c>
      <c r="K406" s="2">
        <v>7.1640313749667301</v>
      </c>
      <c r="L406" s="2">
        <v>8.24165754159913</v>
      </c>
      <c r="M406" s="2">
        <v>60.253229262041003</v>
      </c>
    </row>
    <row r="407" spans="1:13" x14ac:dyDescent="0.2">
      <c r="A407" s="2" t="s">
        <v>994</v>
      </c>
      <c r="B407" s="2">
        <v>6</v>
      </c>
      <c r="C407" s="2">
        <v>5</v>
      </c>
      <c r="D407" s="2">
        <v>1</v>
      </c>
      <c r="E407" s="2">
        <v>1</v>
      </c>
      <c r="F407" s="2">
        <v>1.2454052499961099</v>
      </c>
      <c r="G407" s="2" t="s">
        <v>362</v>
      </c>
      <c r="H407" s="2" t="s">
        <v>1005</v>
      </c>
      <c r="I407" s="2" t="s">
        <v>16</v>
      </c>
      <c r="J407" s="2" t="s">
        <v>1006</v>
      </c>
      <c r="K407" s="2">
        <v>8.2459732083370891</v>
      </c>
      <c r="L407" s="2">
        <v>9.4914086250355503</v>
      </c>
      <c r="M407" s="2">
        <v>60.253229262041003</v>
      </c>
    </row>
    <row r="408" spans="1:13" x14ac:dyDescent="0.2">
      <c r="A408" s="2" t="s">
        <v>994</v>
      </c>
      <c r="B408" s="2">
        <v>7</v>
      </c>
      <c r="C408" s="2">
        <v>5</v>
      </c>
      <c r="D408" s="2">
        <v>2</v>
      </c>
      <c r="E408" s="2">
        <v>0</v>
      </c>
      <c r="F408" s="2">
        <v>2.2299923750106299</v>
      </c>
      <c r="G408" s="2" t="s">
        <v>1007</v>
      </c>
      <c r="H408" s="2" t="s">
        <v>1008</v>
      </c>
      <c r="I408" s="2" t="s">
        <v>23</v>
      </c>
      <c r="J408" s="2" t="s">
        <v>1009</v>
      </c>
      <c r="K408" s="2">
        <v>9.4961729582864791</v>
      </c>
      <c r="L408" s="2">
        <v>11.7262127916329</v>
      </c>
      <c r="M408" s="2">
        <v>60.253229262041003</v>
      </c>
    </row>
    <row r="409" spans="1:13" x14ac:dyDescent="0.2">
      <c r="A409" s="2" t="s">
        <v>994</v>
      </c>
      <c r="B409" s="2">
        <v>8</v>
      </c>
      <c r="C409" s="2">
        <v>10</v>
      </c>
      <c r="D409" s="2">
        <v>1</v>
      </c>
      <c r="E409" s="2">
        <v>1</v>
      </c>
      <c r="F409" s="2">
        <v>1.9402799999807001</v>
      </c>
      <c r="G409" s="2" t="s">
        <v>409</v>
      </c>
      <c r="H409" s="2" t="s">
        <v>210</v>
      </c>
      <c r="I409" s="2" t="s">
        <v>16</v>
      </c>
      <c r="J409" s="2" t="s">
        <v>1010</v>
      </c>
      <c r="K409" s="2">
        <v>11.7367152499501</v>
      </c>
      <c r="L409" s="2">
        <v>13.6770862083649</v>
      </c>
      <c r="M409" s="2">
        <v>60.253229262041003</v>
      </c>
    </row>
    <row r="410" spans="1:13" x14ac:dyDescent="0.2">
      <c r="A410" s="2" t="s">
        <v>994</v>
      </c>
      <c r="B410" s="2">
        <v>9</v>
      </c>
      <c r="C410" s="2">
        <v>5</v>
      </c>
      <c r="D410" s="2">
        <v>1</v>
      </c>
      <c r="E410" s="2">
        <v>1</v>
      </c>
      <c r="F410" s="2">
        <v>1.0749431666918099</v>
      </c>
      <c r="G410" s="2" t="s">
        <v>380</v>
      </c>
      <c r="H410" s="2" t="s">
        <v>190</v>
      </c>
      <c r="I410" s="2" t="s">
        <v>16</v>
      </c>
      <c r="J410" s="2" t="s">
        <v>1011</v>
      </c>
      <c r="K410" s="2">
        <v>13.6852684166515</v>
      </c>
      <c r="L410" s="2">
        <v>14.760320208268199</v>
      </c>
      <c r="M410" s="2">
        <v>60.253229262041003</v>
      </c>
    </row>
    <row r="411" spans="1:13" x14ac:dyDescent="0.2">
      <c r="A411" s="2" t="s">
        <v>994</v>
      </c>
      <c r="B411" s="2">
        <v>10</v>
      </c>
      <c r="C411" s="2">
        <v>10</v>
      </c>
      <c r="D411" s="2">
        <v>1</v>
      </c>
      <c r="E411" s="2">
        <v>1</v>
      </c>
      <c r="F411" s="2">
        <v>1.1853965417249099</v>
      </c>
      <c r="G411" s="2" t="s">
        <v>196</v>
      </c>
      <c r="H411" s="2" t="s">
        <v>15</v>
      </c>
      <c r="I411" s="2" t="s">
        <v>16</v>
      </c>
      <c r="J411" s="2" t="s">
        <v>1012</v>
      </c>
      <c r="K411" s="2">
        <v>14.7742135416484</v>
      </c>
      <c r="L411" s="2">
        <v>15.9596695833607</v>
      </c>
      <c r="M411" s="2">
        <v>60.253229262041003</v>
      </c>
    </row>
    <row r="412" spans="1:13" x14ac:dyDescent="0.2">
      <c r="A412" s="2" t="s">
        <v>994</v>
      </c>
      <c r="B412" s="2">
        <v>11</v>
      </c>
      <c r="C412" s="2">
        <v>10</v>
      </c>
      <c r="D412" s="2">
        <v>1</v>
      </c>
      <c r="E412" s="2">
        <v>1</v>
      </c>
      <c r="F412" s="2">
        <v>0.99005608330480799</v>
      </c>
      <c r="G412" s="2" t="s">
        <v>411</v>
      </c>
      <c r="H412" s="2" t="s">
        <v>388</v>
      </c>
      <c r="I412" s="2" t="s">
        <v>16</v>
      </c>
      <c r="J412" s="2" t="s">
        <v>1013</v>
      </c>
      <c r="K412" s="2">
        <v>15.969912541680999</v>
      </c>
      <c r="L412" s="2">
        <v>16.960071958368601</v>
      </c>
      <c r="M412" s="2">
        <v>60.253229262041003</v>
      </c>
    </row>
    <row r="413" spans="1:13" x14ac:dyDescent="0.2">
      <c r="A413" s="2" t="s">
        <v>994</v>
      </c>
      <c r="B413" s="2">
        <v>12</v>
      </c>
      <c r="C413" s="2">
        <v>10</v>
      </c>
      <c r="D413" s="2">
        <v>1</v>
      </c>
      <c r="E413" s="2">
        <v>1</v>
      </c>
      <c r="F413" s="2">
        <v>1.8254823751049101</v>
      </c>
      <c r="G413" s="2" t="s">
        <v>900</v>
      </c>
      <c r="H413" s="2" t="s">
        <v>236</v>
      </c>
      <c r="I413" s="2" t="s">
        <v>16</v>
      </c>
      <c r="J413" s="2" t="s">
        <v>1014</v>
      </c>
      <c r="K413" s="2">
        <v>16.983561750035701</v>
      </c>
      <c r="L413" s="2">
        <v>18.809055666672101</v>
      </c>
      <c r="M413" s="2">
        <v>60.253229262041003</v>
      </c>
    </row>
    <row r="414" spans="1:13" x14ac:dyDescent="0.2">
      <c r="A414" s="2" t="s">
        <v>994</v>
      </c>
      <c r="B414" s="2">
        <v>13</v>
      </c>
      <c r="C414" s="2">
        <v>5</v>
      </c>
      <c r="D414" s="2">
        <v>1</v>
      </c>
      <c r="E414" s="2">
        <v>1</v>
      </c>
      <c r="F414" s="2">
        <v>1.0443943750578899</v>
      </c>
      <c r="G414" s="2" t="s">
        <v>1015</v>
      </c>
      <c r="H414" s="2" t="s">
        <v>1015</v>
      </c>
      <c r="I414" s="2" t="s">
        <v>16</v>
      </c>
      <c r="J414" s="2" t="s">
        <v>1016</v>
      </c>
      <c r="K414" s="2">
        <v>18.815619874978399</v>
      </c>
      <c r="L414" s="2">
        <v>19.860124666592998</v>
      </c>
      <c r="M414" s="2">
        <v>60.253229262041003</v>
      </c>
    </row>
    <row r="415" spans="1:13" x14ac:dyDescent="0.2">
      <c r="A415" s="2" t="s">
        <v>994</v>
      </c>
      <c r="B415" s="2">
        <v>14</v>
      </c>
      <c r="C415" s="2">
        <v>10</v>
      </c>
      <c r="D415" s="2">
        <v>1</v>
      </c>
      <c r="E415" s="2">
        <v>1</v>
      </c>
      <c r="F415" s="2">
        <v>2.4533670416567501</v>
      </c>
      <c r="G415" s="2" t="s">
        <v>1017</v>
      </c>
      <c r="H415" s="2" t="s">
        <v>263</v>
      </c>
      <c r="I415" s="2" t="s">
        <v>16</v>
      </c>
      <c r="J415" s="2" t="s">
        <v>1018</v>
      </c>
      <c r="K415" s="2">
        <v>19.8731239166809</v>
      </c>
      <c r="L415" s="2">
        <v>22.3265992916422</v>
      </c>
      <c r="M415" s="2">
        <v>60.253229262041003</v>
      </c>
    </row>
    <row r="416" spans="1:13" x14ac:dyDescent="0.2">
      <c r="A416" s="2" t="s">
        <v>994</v>
      </c>
      <c r="B416" s="2">
        <v>15</v>
      </c>
      <c r="C416" s="2">
        <v>5</v>
      </c>
      <c r="D416" s="2">
        <v>1</v>
      </c>
      <c r="E416" s="2">
        <v>1</v>
      </c>
      <c r="F416" s="2">
        <v>1.5253138750558699</v>
      </c>
      <c r="G416" s="2" t="s">
        <v>647</v>
      </c>
      <c r="H416" s="2" t="s">
        <v>1019</v>
      </c>
      <c r="I416" s="2" t="s">
        <v>16</v>
      </c>
      <c r="J416" s="2" t="s">
        <v>1020</v>
      </c>
      <c r="K416" s="2">
        <v>22.334711291594399</v>
      </c>
      <c r="L416" s="2">
        <v>23.8601402082713</v>
      </c>
      <c r="M416" s="2">
        <v>60.253229262041003</v>
      </c>
    </row>
    <row r="417" spans="1:13" x14ac:dyDescent="0.2">
      <c r="A417" s="2" t="s">
        <v>994</v>
      </c>
      <c r="B417" s="2">
        <v>16</v>
      </c>
      <c r="C417" s="2">
        <v>10</v>
      </c>
      <c r="D417" s="2">
        <v>1</v>
      </c>
      <c r="E417" s="2">
        <v>1</v>
      </c>
      <c r="F417" s="2">
        <v>1.38703066669405</v>
      </c>
      <c r="G417" s="2" t="s">
        <v>1021</v>
      </c>
      <c r="H417" s="2" t="s">
        <v>1022</v>
      </c>
      <c r="I417" s="2" t="s">
        <v>16</v>
      </c>
      <c r="J417" s="2" t="s">
        <v>1023</v>
      </c>
      <c r="K417" s="2">
        <v>23.873374333255899</v>
      </c>
      <c r="L417" s="2">
        <v>25.260516541660799</v>
      </c>
      <c r="M417" s="2">
        <v>60.253229262041003</v>
      </c>
    </row>
    <row r="418" spans="1:13" x14ac:dyDescent="0.2">
      <c r="A418" s="2" t="s">
        <v>994</v>
      </c>
      <c r="B418" s="2">
        <v>17</v>
      </c>
      <c r="C418" s="2">
        <v>10</v>
      </c>
      <c r="D418" s="2">
        <v>1</v>
      </c>
      <c r="E418" s="2">
        <v>1</v>
      </c>
      <c r="F418" s="2">
        <v>2.05525441665668</v>
      </c>
      <c r="G418" s="2" t="s">
        <v>1024</v>
      </c>
      <c r="H418" s="2" t="s">
        <v>141</v>
      </c>
      <c r="I418" s="2" t="s">
        <v>16</v>
      </c>
      <c r="J418" s="2" t="s">
        <v>1025</v>
      </c>
      <c r="K418" s="2">
        <v>25.272847666638</v>
      </c>
      <c r="L418" s="2">
        <v>27.328204708290301</v>
      </c>
      <c r="M418" s="2">
        <v>60.253229262041003</v>
      </c>
    </row>
    <row r="419" spans="1:13" x14ac:dyDescent="0.2">
      <c r="A419" s="2" t="s">
        <v>994</v>
      </c>
      <c r="B419" s="2">
        <v>18</v>
      </c>
      <c r="C419" s="2">
        <v>10</v>
      </c>
      <c r="D419" s="2">
        <v>1</v>
      </c>
      <c r="E419" s="2">
        <v>1</v>
      </c>
      <c r="F419" s="2">
        <v>2.1541157916653901</v>
      </c>
      <c r="G419" s="2" t="s">
        <v>417</v>
      </c>
      <c r="H419" s="2" t="s">
        <v>952</v>
      </c>
      <c r="I419" s="2" t="s">
        <v>16</v>
      </c>
      <c r="J419" s="2" t="s">
        <v>1026</v>
      </c>
      <c r="K419" s="2">
        <v>27.339289041701701</v>
      </c>
      <c r="L419" s="2">
        <v>29.493542666663402</v>
      </c>
      <c r="M419" s="2">
        <v>60.253229262041003</v>
      </c>
    </row>
    <row r="420" spans="1:13" x14ac:dyDescent="0.2">
      <c r="A420" s="2" t="s">
        <v>994</v>
      </c>
      <c r="B420" s="2">
        <v>19</v>
      </c>
      <c r="C420" s="2">
        <v>10</v>
      </c>
      <c r="D420" s="2">
        <v>1</v>
      </c>
      <c r="E420" s="2">
        <v>1</v>
      </c>
      <c r="F420" s="2">
        <v>2.1404090833384499</v>
      </c>
      <c r="G420" s="2" t="s">
        <v>881</v>
      </c>
      <c r="H420" s="2" t="s">
        <v>472</v>
      </c>
      <c r="I420" s="2" t="s">
        <v>16</v>
      </c>
      <c r="J420" s="2" t="s">
        <v>1027</v>
      </c>
      <c r="K420" s="2">
        <v>29.504527041688601</v>
      </c>
      <c r="L420" s="2">
        <v>31.6450437082676</v>
      </c>
      <c r="M420" s="2">
        <v>60.253229262041003</v>
      </c>
    </row>
    <row r="421" spans="1:13" x14ac:dyDescent="0.2">
      <c r="A421" s="2" t="s">
        <v>994</v>
      </c>
      <c r="B421" s="2">
        <v>20</v>
      </c>
      <c r="C421" s="2">
        <v>10</v>
      </c>
      <c r="D421" s="2">
        <v>2</v>
      </c>
      <c r="E421" s="2">
        <v>0</v>
      </c>
      <c r="F421" s="2">
        <v>1.8184972499730101</v>
      </c>
      <c r="G421" s="2" t="s">
        <v>1028</v>
      </c>
      <c r="H421" s="2" t="s">
        <v>1029</v>
      </c>
      <c r="I421" s="2" t="s">
        <v>23</v>
      </c>
      <c r="J421" s="2" t="s">
        <v>1030</v>
      </c>
      <c r="K421" s="2">
        <v>31.657648749998799</v>
      </c>
      <c r="L421" s="2">
        <v>33.476220833370498</v>
      </c>
      <c r="M421" s="2">
        <v>60.253229262041003</v>
      </c>
    </row>
    <row r="422" spans="1:13" x14ac:dyDescent="0.2">
      <c r="A422" s="2" t="s">
        <v>994</v>
      </c>
      <c r="B422" s="2">
        <v>21</v>
      </c>
      <c r="C422" s="2">
        <v>5</v>
      </c>
      <c r="D422" s="2">
        <v>1</v>
      </c>
      <c r="E422" s="2">
        <v>1</v>
      </c>
      <c r="F422" s="2">
        <v>2.41018120839726</v>
      </c>
      <c r="G422" s="2" t="s">
        <v>1031</v>
      </c>
      <c r="H422" s="2" t="s">
        <v>1032</v>
      </c>
      <c r="I422" s="2" t="s">
        <v>16</v>
      </c>
      <c r="J422" s="2" t="s">
        <v>1033</v>
      </c>
      <c r="K422" s="2">
        <v>33.483076291624499</v>
      </c>
      <c r="L422" s="2">
        <v>35.893353249994099</v>
      </c>
      <c r="M422" s="2">
        <v>60.253229262041003</v>
      </c>
    </row>
    <row r="423" spans="1:13" x14ac:dyDescent="0.2">
      <c r="A423" s="2" t="s">
        <v>994</v>
      </c>
      <c r="B423" s="2">
        <v>22</v>
      </c>
      <c r="C423" s="2">
        <v>5</v>
      </c>
      <c r="D423" s="2">
        <v>1</v>
      </c>
      <c r="E423" s="2">
        <v>1</v>
      </c>
      <c r="F423" s="2">
        <v>1.3114276666892699</v>
      </c>
      <c r="G423" s="2" t="s">
        <v>1034</v>
      </c>
      <c r="H423" s="2" t="s">
        <v>1035</v>
      </c>
      <c r="I423" s="2" t="s">
        <v>16</v>
      </c>
      <c r="J423" s="2" t="s">
        <v>1036</v>
      </c>
      <c r="K423" s="2">
        <v>35.899415499996401</v>
      </c>
      <c r="L423" s="2">
        <v>37.210932750022003</v>
      </c>
      <c r="M423" s="2">
        <v>60.253229262041003</v>
      </c>
    </row>
    <row r="424" spans="1:13" x14ac:dyDescent="0.2">
      <c r="A424" s="2" t="s">
        <v>994</v>
      </c>
      <c r="B424" s="2">
        <v>23</v>
      </c>
      <c r="C424" s="2">
        <v>10</v>
      </c>
      <c r="D424" s="2">
        <v>1</v>
      </c>
      <c r="E424" s="2">
        <v>1</v>
      </c>
      <c r="F424" s="2">
        <v>2.0868703749729298</v>
      </c>
      <c r="G424" s="2" t="s">
        <v>1037</v>
      </c>
      <c r="H424" s="2" t="s">
        <v>597</v>
      </c>
      <c r="I424" s="2" t="s">
        <v>16</v>
      </c>
      <c r="J424" s="2" t="s">
        <v>1038</v>
      </c>
      <c r="K424" s="2">
        <v>37.221893874928398</v>
      </c>
      <c r="L424" s="2">
        <v>39.3088190000271</v>
      </c>
      <c r="M424" s="2">
        <v>60.253229262041003</v>
      </c>
    </row>
    <row r="425" spans="1:13" x14ac:dyDescent="0.2">
      <c r="A425" s="2" t="s">
        <v>994</v>
      </c>
      <c r="B425" s="2">
        <v>24</v>
      </c>
      <c r="C425" s="2">
        <v>5</v>
      </c>
      <c r="D425" s="2">
        <v>2</v>
      </c>
      <c r="E425" s="2">
        <v>0</v>
      </c>
      <c r="F425" s="2">
        <v>2.1425379166612402</v>
      </c>
      <c r="G425" s="2" t="s">
        <v>1039</v>
      </c>
      <c r="H425" s="2" t="s">
        <v>1040</v>
      </c>
      <c r="I425" s="2" t="s">
        <v>23</v>
      </c>
      <c r="J425" s="2" t="s">
        <v>1041</v>
      </c>
      <c r="K425" s="2">
        <v>39.315325041650802</v>
      </c>
      <c r="L425" s="2">
        <v>41.4578875832958</v>
      </c>
      <c r="M425" s="2">
        <v>60.253229262041003</v>
      </c>
    </row>
    <row r="426" spans="1:13" x14ac:dyDescent="0.2">
      <c r="A426" s="2" t="s">
        <v>994</v>
      </c>
      <c r="B426" s="2">
        <v>25</v>
      </c>
      <c r="C426" s="2">
        <v>5</v>
      </c>
      <c r="D426" s="2">
        <v>1</v>
      </c>
      <c r="E426" s="2">
        <v>1</v>
      </c>
      <c r="F426" s="2">
        <v>1.3298029582947499</v>
      </c>
      <c r="G426" s="2" t="s">
        <v>1042</v>
      </c>
      <c r="H426" s="2" t="s">
        <v>335</v>
      </c>
      <c r="I426" s="2" t="s">
        <v>16</v>
      </c>
      <c r="J426" s="2" t="s">
        <v>1043</v>
      </c>
      <c r="K426" s="2">
        <v>41.463047500001302</v>
      </c>
      <c r="L426" s="2">
        <v>42.792920958367198</v>
      </c>
      <c r="M426" s="2">
        <v>60.253229262041003</v>
      </c>
    </row>
    <row r="427" spans="1:13" x14ac:dyDescent="0.2">
      <c r="A427" s="2" t="s">
        <v>994</v>
      </c>
      <c r="B427" s="2">
        <v>26</v>
      </c>
      <c r="C427" s="2">
        <v>10</v>
      </c>
      <c r="D427" s="2">
        <v>1</v>
      </c>
      <c r="E427" s="2">
        <v>1</v>
      </c>
      <c r="F427" s="2">
        <v>1.9193788333796</v>
      </c>
      <c r="G427" s="2" t="s">
        <v>1044</v>
      </c>
      <c r="H427" s="2" t="s">
        <v>911</v>
      </c>
      <c r="I427" s="2" t="s">
        <v>16</v>
      </c>
      <c r="J427" s="2" t="s">
        <v>1045</v>
      </c>
      <c r="K427" s="2">
        <v>42.806768083362797</v>
      </c>
      <c r="L427" s="2">
        <v>44.726243041688598</v>
      </c>
      <c r="M427" s="2">
        <v>60.253229262041003</v>
      </c>
    </row>
    <row r="428" spans="1:13" x14ac:dyDescent="0.2">
      <c r="A428" s="2" t="s">
        <v>994</v>
      </c>
      <c r="B428" s="2">
        <v>27</v>
      </c>
      <c r="C428" s="2">
        <v>10</v>
      </c>
      <c r="D428" s="2">
        <v>1</v>
      </c>
      <c r="E428" s="2">
        <v>1</v>
      </c>
      <c r="F428" s="2">
        <v>3.36308549996465</v>
      </c>
      <c r="G428" s="2" t="s">
        <v>184</v>
      </c>
      <c r="H428" s="2" t="s">
        <v>1046</v>
      </c>
      <c r="I428" s="2" t="s">
        <v>16</v>
      </c>
      <c r="J428" s="2" t="s">
        <v>1047</v>
      </c>
      <c r="K428" s="2">
        <v>44.736680874950302</v>
      </c>
      <c r="L428" s="2">
        <v>48.099812083295603</v>
      </c>
      <c r="M428" s="2">
        <v>60.253229262041003</v>
      </c>
    </row>
    <row r="429" spans="1:13" x14ac:dyDescent="0.2">
      <c r="A429" s="2" t="s">
        <v>994</v>
      </c>
      <c r="B429" s="2">
        <v>28</v>
      </c>
      <c r="C429" s="2">
        <v>5</v>
      </c>
      <c r="D429" s="2">
        <v>1</v>
      </c>
      <c r="E429" s="2">
        <v>1</v>
      </c>
      <c r="F429" s="2">
        <v>1.0373779166257</v>
      </c>
      <c r="G429" s="2" t="s">
        <v>1048</v>
      </c>
      <c r="H429" s="2" t="s">
        <v>254</v>
      </c>
      <c r="I429" s="2" t="s">
        <v>16</v>
      </c>
      <c r="J429" s="2" t="s">
        <v>1049</v>
      </c>
      <c r="K429" s="2">
        <v>48.1041352082975</v>
      </c>
      <c r="L429" s="2">
        <v>49.141571666696102</v>
      </c>
      <c r="M429" s="2">
        <v>60.253229262041003</v>
      </c>
    </row>
    <row r="430" spans="1:13" x14ac:dyDescent="0.2">
      <c r="A430" s="2" t="s">
        <v>994</v>
      </c>
      <c r="B430" s="2">
        <v>29</v>
      </c>
      <c r="C430" s="2">
        <v>10</v>
      </c>
      <c r="D430" s="2">
        <v>2</v>
      </c>
      <c r="E430" s="2">
        <v>0</v>
      </c>
      <c r="F430" s="2">
        <v>2.9925229166401599</v>
      </c>
      <c r="G430" s="2" t="s">
        <v>1050</v>
      </c>
      <c r="H430" s="2" t="s">
        <v>1051</v>
      </c>
      <c r="I430" s="2" t="s">
        <v>23</v>
      </c>
      <c r="J430" s="2" t="s">
        <v>1052</v>
      </c>
      <c r="K430" s="2">
        <v>49.149985291645898</v>
      </c>
      <c r="L430" s="2">
        <v>52.1425907916855</v>
      </c>
      <c r="M430" s="2">
        <v>60.253229262041003</v>
      </c>
    </row>
    <row r="431" spans="1:13" x14ac:dyDescent="0.2">
      <c r="A431" s="2" t="s">
        <v>994</v>
      </c>
      <c r="B431" s="2">
        <v>30</v>
      </c>
      <c r="C431" s="2">
        <v>10</v>
      </c>
      <c r="D431" s="2">
        <v>1</v>
      </c>
      <c r="E431" s="2">
        <v>1</v>
      </c>
      <c r="F431" s="2">
        <v>1.6061699165729799</v>
      </c>
      <c r="G431" s="2" t="s">
        <v>46</v>
      </c>
      <c r="H431" s="2" t="s">
        <v>617</v>
      </c>
      <c r="I431" s="2" t="s">
        <v>16</v>
      </c>
      <c r="J431" s="2" t="s">
        <v>1053</v>
      </c>
      <c r="K431" s="2">
        <v>52.154054499929799</v>
      </c>
      <c r="L431" s="2">
        <v>53.760329999961002</v>
      </c>
      <c r="M431" s="2">
        <v>60.253229262041003</v>
      </c>
    </row>
    <row r="432" spans="1:13" x14ac:dyDescent="0.2">
      <c r="A432" s="2" t="s">
        <v>994</v>
      </c>
      <c r="B432" s="2">
        <v>31</v>
      </c>
      <c r="C432" s="2">
        <v>5</v>
      </c>
      <c r="D432" s="2">
        <v>1</v>
      </c>
      <c r="E432" s="2">
        <v>1</v>
      </c>
      <c r="F432" s="2">
        <v>0.90932850004173804</v>
      </c>
      <c r="G432" s="2" t="s">
        <v>1054</v>
      </c>
      <c r="H432" s="2" t="s">
        <v>961</v>
      </c>
      <c r="I432" s="2" t="s">
        <v>16</v>
      </c>
      <c r="J432" s="2" t="s">
        <v>1055</v>
      </c>
      <c r="K432" s="2">
        <v>53.7685915416805</v>
      </c>
      <c r="L432" s="2">
        <v>54.676461958326399</v>
      </c>
      <c r="M432" s="2">
        <v>60.253229262041003</v>
      </c>
    </row>
    <row r="433" spans="1:13" x14ac:dyDescent="0.2">
      <c r="A433" s="2" t="s">
        <v>994</v>
      </c>
      <c r="B433" s="2">
        <v>32</v>
      </c>
      <c r="C433" s="2">
        <v>10</v>
      </c>
      <c r="D433" s="2">
        <v>1</v>
      </c>
      <c r="E433" s="2">
        <v>1</v>
      </c>
      <c r="F433" s="2">
        <v>1.1226961250649801</v>
      </c>
      <c r="G433" s="2" t="s">
        <v>700</v>
      </c>
      <c r="H433" s="2" t="s">
        <v>393</v>
      </c>
      <c r="I433" s="2" t="s">
        <v>16</v>
      </c>
      <c r="J433" s="2" t="s">
        <v>1056</v>
      </c>
      <c r="K433" s="2">
        <v>54.686968166614001</v>
      </c>
      <c r="L433" s="2">
        <v>55.809764749952599</v>
      </c>
      <c r="M433" s="2">
        <v>60.253229262041003</v>
      </c>
    </row>
    <row r="434" spans="1:13" x14ac:dyDescent="0.2">
      <c r="A434" s="2" t="s">
        <v>994</v>
      </c>
      <c r="B434" s="2">
        <v>33</v>
      </c>
      <c r="C434" s="2">
        <v>10</v>
      </c>
      <c r="D434" s="2">
        <v>1</v>
      </c>
      <c r="E434" s="2">
        <v>1</v>
      </c>
      <c r="F434" s="2">
        <v>1.1369395833462499</v>
      </c>
      <c r="G434" s="2" t="s">
        <v>379</v>
      </c>
      <c r="H434" s="2" t="s">
        <v>358</v>
      </c>
      <c r="I434" s="2" t="s">
        <v>16</v>
      </c>
      <c r="J434" s="2" t="s">
        <v>1057</v>
      </c>
      <c r="K434" s="2">
        <v>55.821981749963001</v>
      </c>
      <c r="L434" s="2">
        <v>56.9589802916162</v>
      </c>
      <c r="M434" s="2">
        <v>60.253229262041003</v>
      </c>
    </row>
    <row r="435" spans="1:13" x14ac:dyDescent="0.2">
      <c r="A435" s="2" t="s">
        <v>994</v>
      </c>
      <c r="B435" s="2">
        <v>34</v>
      </c>
      <c r="C435" s="2">
        <v>5</v>
      </c>
      <c r="D435" s="2">
        <v>1</v>
      </c>
      <c r="E435" s="2">
        <v>1</v>
      </c>
      <c r="F435" s="2">
        <v>1.5101281249662899</v>
      </c>
      <c r="G435" s="2" t="s">
        <v>653</v>
      </c>
      <c r="H435" s="2" t="s">
        <v>144</v>
      </c>
      <c r="I435" s="2" t="s">
        <v>16</v>
      </c>
      <c r="J435" s="2" t="s">
        <v>1058</v>
      </c>
      <c r="K435" s="2">
        <v>56.965572500019299</v>
      </c>
      <c r="L435" s="2">
        <v>58.475773375015699</v>
      </c>
      <c r="M435" s="2">
        <v>60.253229262041003</v>
      </c>
    </row>
    <row r="436" spans="1:13" x14ac:dyDescent="0.2">
      <c r="A436" s="2" t="s">
        <v>994</v>
      </c>
      <c r="B436" s="2">
        <v>35</v>
      </c>
      <c r="C436" s="2">
        <v>10</v>
      </c>
      <c r="D436" s="2">
        <v>1</v>
      </c>
      <c r="E436" s="2">
        <v>1</v>
      </c>
      <c r="F436" s="2">
        <v>1.5368639583466599</v>
      </c>
      <c r="G436" s="2" t="s">
        <v>1059</v>
      </c>
      <c r="H436" s="2" t="s">
        <v>1060</v>
      </c>
      <c r="I436" s="2" t="s">
        <v>16</v>
      </c>
      <c r="J436" s="2" t="s">
        <v>1061</v>
      </c>
      <c r="K436" s="2">
        <v>58.4885599582922</v>
      </c>
      <c r="L436" s="2">
        <v>60.025473166606403</v>
      </c>
      <c r="M436" s="2">
        <v>60.253229262041003</v>
      </c>
    </row>
    <row r="437" spans="1:13" x14ac:dyDescent="0.2">
      <c r="A437" s="2" t="s">
        <v>994</v>
      </c>
      <c r="B437" s="2">
        <v>36</v>
      </c>
      <c r="C437" s="2">
        <v>5</v>
      </c>
      <c r="D437" s="2">
        <v>1</v>
      </c>
      <c r="E437" s="2">
        <v>1</v>
      </c>
      <c r="F437" s="2">
        <v>1.07725987501908</v>
      </c>
      <c r="G437" s="2" t="s">
        <v>537</v>
      </c>
      <c r="H437" s="2" t="s">
        <v>1062</v>
      </c>
      <c r="I437" s="2" t="s">
        <v>16</v>
      </c>
      <c r="J437" s="2" t="s">
        <v>1063</v>
      </c>
      <c r="K437" s="2">
        <v>60.0321917083347</v>
      </c>
      <c r="L437" s="2">
        <v>61.109521166654297</v>
      </c>
      <c r="M437" s="2">
        <v>60.253229262041003</v>
      </c>
    </row>
    <row r="438" spans="1:13" x14ac:dyDescent="0.2">
      <c r="A438" s="2" t="s">
        <v>994</v>
      </c>
      <c r="B438" s="2">
        <v>37</v>
      </c>
      <c r="C438" s="2">
        <v>5</v>
      </c>
      <c r="D438" s="2">
        <v>1</v>
      </c>
      <c r="E438" s="2">
        <v>1</v>
      </c>
      <c r="F438" s="2">
        <v>1.2097115416545401</v>
      </c>
      <c r="G438" s="2" t="s">
        <v>1064</v>
      </c>
      <c r="H438" s="2" t="s">
        <v>1065</v>
      </c>
      <c r="I438" s="2" t="s">
        <v>16</v>
      </c>
      <c r="J438" s="2" t="s">
        <v>1066</v>
      </c>
      <c r="K438" s="2">
        <v>61.115916749928203</v>
      </c>
      <c r="L438" s="2">
        <v>62.325680500012801</v>
      </c>
      <c r="M438" s="2">
        <v>60.253229262041003</v>
      </c>
    </row>
    <row r="439" spans="1:13" x14ac:dyDescent="0.2">
      <c r="A439" s="2" t="s">
        <v>994</v>
      </c>
      <c r="B439" s="2">
        <v>38</v>
      </c>
      <c r="C439" s="2">
        <v>5</v>
      </c>
      <c r="D439" s="2">
        <v>2</v>
      </c>
      <c r="E439" s="2">
        <v>0</v>
      </c>
      <c r="F439" s="2">
        <v>1.6610549583565399</v>
      </c>
      <c r="G439" s="2" t="s">
        <v>1067</v>
      </c>
      <c r="H439" s="2" t="s">
        <v>1068</v>
      </c>
      <c r="I439" s="2" t="s">
        <v>23</v>
      </c>
      <c r="J439" s="2" t="s">
        <v>1069</v>
      </c>
      <c r="K439" s="2">
        <v>62.331137125031098</v>
      </c>
      <c r="L439" s="2">
        <v>63.9922491250327</v>
      </c>
      <c r="M439" s="2">
        <v>60.253229262041003</v>
      </c>
    </row>
    <row r="440" spans="1:13" x14ac:dyDescent="0.2">
      <c r="A440" s="2" t="s">
        <v>994</v>
      </c>
      <c r="B440" s="2">
        <v>39</v>
      </c>
      <c r="C440" s="2">
        <v>10</v>
      </c>
      <c r="D440" s="2">
        <v>3</v>
      </c>
      <c r="E440" s="2">
        <v>0</v>
      </c>
      <c r="F440" s="2">
        <v>3.2066224167356299</v>
      </c>
      <c r="G440" s="2" t="s">
        <v>1070</v>
      </c>
      <c r="H440" s="2" t="s">
        <v>1071</v>
      </c>
      <c r="I440" s="2" t="s">
        <v>935</v>
      </c>
      <c r="J440" s="2" t="s">
        <v>1072</v>
      </c>
      <c r="K440" s="2">
        <v>64.002311249962105</v>
      </c>
      <c r="L440" s="2">
        <v>67.209003333351603</v>
      </c>
      <c r="M440" s="2">
        <v>60.253229262041003</v>
      </c>
    </row>
    <row r="441" spans="1:13" x14ac:dyDescent="0.2">
      <c r="A441" s="2" t="s">
        <v>994</v>
      </c>
      <c r="B441" s="2">
        <v>40</v>
      </c>
      <c r="C441" s="2">
        <v>10</v>
      </c>
      <c r="D441" s="2">
        <v>1</v>
      </c>
      <c r="E441" s="2">
        <v>1</v>
      </c>
      <c r="F441" s="2">
        <v>1.5201502500567601</v>
      </c>
      <c r="G441" s="2" t="s">
        <v>269</v>
      </c>
      <c r="H441" s="2" t="s">
        <v>1073</v>
      </c>
      <c r="I441" s="2" t="s">
        <v>16</v>
      </c>
      <c r="J441" s="2" t="s">
        <v>1074</v>
      </c>
      <c r="K441" s="2">
        <v>67.222260916605606</v>
      </c>
      <c r="L441" s="2">
        <v>68.742474750033594</v>
      </c>
      <c r="M441" s="2">
        <v>60.253229262041003</v>
      </c>
    </row>
    <row r="442" spans="1:13" x14ac:dyDescent="0.2">
      <c r="A442" s="2" t="s">
        <v>994</v>
      </c>
      <c r="B442" s="2">
        <v>41</v>
      </c>
      <c r="C442" s="2">
        <v>10</v>
      </c>
      <c r="D442" s="2">
        <v>1</v>
      </c>
      <c r="E442" s="2">
        <v>1</v>
      </c>
      <c r="F442" s="2">
        <v>2.2222585832932999</v>
      </c>
      <c r="G442" s="2" t="s">
        <v>1075</v>
      </c>
      <c r="H442" s="2" t="s">
        <v>545</v>
      </c>
      <c r="I442" s="2" t="s">
        <v>16</v>
      </c>
      <c r="J442" s="2" t="s">
        <v>1076</v>
      </c>
      <c r="K442" s="2">
        <v>68.753367875004201</v>
      </c>
      <c r="L442" s="2">
        <v>70.975694624939905</v>
      </c>
      <c r="M442" s="2">
        <v>60.253229262041003</v>
      </c>
    </row>
    <row r="443" spans="1:13" x14ac:dyDescent="0.2">
      <c r="A443" s="2" t="s">
        <v>994</v>
      </c>
      <c r="B443" s="2">
        <v>42</v>
      </c>
      <c r="C443" s="2">
        <v>10</v>
      </c>
      <c r="D443" s="2">
        <v>1</v>
      </c>
      <c r="E443" s="2">
        <v>1</v>
      </c>
      <c r="F443" s="2">
        <v>1.03848904161714</v>
      </c>
      <c r="G443" s="2" t="s">
        <v>1077</v>
      </c>
      <c r="H443" s="2" t="s">
        <v>47</v>
      </c>
      <c r="I443" s="2" t="s">
        <v>16</v>
      </c>
      <c r="J443" s="2" t="s">
        <v>1078</v>
      </c>
      <c r="K443" s="2">
        <v>70.987635166617096</v>
      </c>
      <c r="L443" s="2">
        <v>72.026194208301604</v>
      </c>
      <c r="M443" s="2">
        <v>60.253229262041003</v>
      </c>
    </row>
    <row r="444" spans="1:13" x14ac:dyDescent="0.2">
      <c r="A444" s="2" t="s">
        <v>994</v>
      </c>
      <c r="B444" s="2">
        <v>43</v>
      </c>
      <c r="C444" s="2">
        <v>5</v>
      </c>
      <c r="D444" s="2">
        <v>1</v>
      </c>
      <c r="E444" s="2">
        <v>1</v>
      </c>
      <c r="F444" s="2">
        <v>1.61078229174018</v>
      </c>
      <c r="G444" s="2" t="s">
        <v>1079</v>
      </c>
      <c r="H444" s="2" t="s">
        <v>129</v>
      </c>
      <c r="I444" s="2" t="s">
        <v>16</v>
      </c>
      <c r="J444" s="2" t="s">
        <v>1080</v>
      </c>
      <c r="K444" s="2">
        <v>72.0315772083122</v>
      </c>
      <c r="L444" s="2">
        <v>73.642429458326703</v>
      </c>
      <c r="M444" s="2">
        <v>60.253229262041003</v>
      </c>
    </row>
    <row r="445" spans="1:13" x14ac:dyDescent="0.2">
      <c r="A445" s="2" t="s">
        <v>994</v>
      </c>
      <c r="B445" s="2">
        <v>44</v>
      </c>
      <c r="C445" s="2">
        <v>5</v>
      </c>
      <c r="D445" s="2">
        <v>1</v>
      </c>
      <c r="E445" s="2">
        <v>1</v>
      </c>
      <c r="F445" s="2">
        <v>1.0944146666443</v>
      </c>
      <c r="G445" s="2" t="s">
        <v>169</v>
      </c>
      <c r="H445" s="2" t="s">
        <v>782</v>
      </c>
      <c r="I445" s="2" t="s">
        <v>16</v>
      </c>
      <c r="J445" s="2" t="s">
        <v>1081</v>
      </c>
      <c r="K445" s="2">
        <v>73.647875416674694</v>
      </c>
      <c r="L445" s="2">
        <v>74.742368916631705</v>
      </c>
      <c r="M445" s="2">
        <v>60.253229262041003</v>
      </c>
    </row>
    <row r="446" spans="1:13" x14ac:dyDescent="0.2">
      <c r="A446" s="2" t="s">
        <v>994</v>
      </c>
      <c r="B446" s="2">
        <v>45</v>
      </c>
      <c r="C446" s="2">
        <v>5</v>
      </c>
      <c r="D446" s="2">
        <v>1</v>
      </c>
      <c r="E446" s="2">
        <v>1</v>
      </c>
      <c r="F446" s="2">
        <v>1.0264278750400999</v>
      </c>
      <c r="G446" s="2" t="s">
        <v>732</v>
      </c>
      <c r="H446" s="2" t="s">
        <v>1082</v>
      </c>
      <c r="I446" s="2" t="s">
        <v>16</v>
      </c>
      <c r="J446" s="2" t="s">
        <v>1083</v>
      </c>
      <c r="K446" s="2">
        <v>74.749089333345196</v>
      </c>
      <c r="L446" s="2">
        <v>75.775573083316004</v>
      </c>
      <c r="M446" s="2">
        <v>60.253229262041003</v>
      </c>
    </row>
    <row r="447" spans="1:13" x14ac:dyDescent="0.2">
      <c r="A447" s="2" t="s">
        <v>994</v>
      </c>
      <c r="B447" s="2">
        <v>46</v>
      </c>
      <c r="C447" s="2">
        <v>10</v>
      </c>
      <c r="D447" s="2">
        <v>2</v>
      </c>
      <c r="E447" s="2">
        <v>0</v>
      </c>
      <c r="F447" s="2">
        <v>2.5034515416482499</v>
      </c>
      <c r="G447" s="2" t="s">
        <v>1084</v>
      </c>
      <c r="H447" s="2" t="s">
        <v>1085</v>
      </c>
      <c r="I447" s="2" t="s">
        <v>23</v>
      </c>
      <c r="J447" s="2" t="s">
        <v>1086</v>
      </c>
      <c r="K447" s="2">
        <v>75.787737875012695</v>
      </c>
      <c r="L447" s="2">
        <v>78.291211458272301</v>
      </c>
      <c r="M447" s="2">
        <v>60.253229262041003</v>
      </c>
    </row>
    <row r="448" spans="1:13" x14ac:dyDescent="0.2">
      <c r="A448" s="2" t="s">
        <v>994</v>
      </c>
      <c r="B448" s="2">
        <v>47</v>
      </c>
      <c r="C448" s="2">
        <v>10</v>
      </c>
      <c r="D448" s="2">
        <v>1</v>
      </c>
      <c r="E448" s="2">
        <v>1</v>
      </c>
      <c r="F448" s="2">
        <v>1.39288916671649</v>
      </c>
      <c r="G448" s="2" t="s">
        <v>1087</v>
      </c>
      <c r="H448" s="2" t="s">
        <v>1088</v>
      </c>
      <c r="I448" s="2" t="s">
        <v>16</v>
      </c>
      <c r="J448" s="2" t="s">
        <v>1089</v>
      </c>
      <c r="K448" s="2">
        <v>78.298660041648006</v>
      </c>
      <c r="L448" s="2">
        <v>79.691571541596204</v>
      </c>
      <c r="M448" s="2">
        <v>60.253229262041003</v>
      </c>
    </row>
    <row r="449" spans="1:13" x14ac:dyDescent="0.2">
      <c r="A449" s="2" t="s">
        <v>994</v>
      </c>
      <c r="B449" s="2">
        <v>48</v>
      </c>
      <c r="C449" s="2">
        <v>10</v>
      </c>
      <c r="D449" s="2">
        <v>1</v>
      </c>
      <c r="E449" s="2">
        <v>1</v>
      </c>
      <c r="F449" s="2">
        <v>1.14354233327322</v>
      </c>
      <c r="G449" s="2" t="s">
        <v>393</v>
      </c>
      <c r="H449" s="2" t="s">
        <v>966</v>
      </c>
      <c r="I449" s="2" t="s">
        <v>16</v>
      </c>
      <c r="J449" s="2" t="s">
        <v>1090</v>
      </c>
      <c r="K449" s="2">
        <v>79.697872208315005</v>
      </c>
      <c r="L449" s="2">
        <v>80.841431000037105</v>
      </c>
      <c r="M449" s="2">
        <v>60.253229262041003</v>
      </c>
    </row>
    <row r="450" spans="1:13" x14ac:dyDescent="0.2">
      <c r="A450" s="2" t="s">
        <v>994</v>
      </c>
      <c r="B450" s="2">
        <v>49</v>
      </c>
      <c r="C450" s="2">
        <v>5</v>
      </c>
      <c r="D450" s="2">
        <v>3</v>
      </c>
      <c r="E450" s="2">
        <v>0</v>
      </c>
      <c r="F450" s="2">
        <v>4.3305228749522904</v>
      </c>
      <c r="G450" s="2" t="s">
        <v>1091</v>
      </c>
      <c r="H450" s="2" t="s">
        <v>1092</v>
      </c>
      <c r="I450" s="2" t="s">
        <v>935</v>
      </c>
      <c r="J450" s="2" t="s">
        <v>1093</v>
      </c>
      <c r="K450" s="2">
        <v>80.844677499961094</v>
      </c>
      <c r="L450" s="2">
        <v>85.175249458290594</v>
      </c>
      <c r="M450" s="2">
        <v>60.253229262041003</v>
      </c>
    </row>
    <row r="451" spans="1:13" x14ac:dyDescent="0.2">
      <c r="A451" s="2" t="s">
        <v>994</v>
      </c>
      <c r="B451" s="2">
        <v>50</v>
      </c>
      <c r="C451" s="2">
        <v>10</v>
      </c>
      <c r="D451" s="2">
        <v>1</v>
      </c>
      <c r="E451" s="2">
        <v>1</v>
      </c>
      <c r="F451" s="2">
        <v>1.40864870836958</v>
      </c>
      <c r="G451" s="2" t="s">
        <v>1094</v>
      </c>
      <c r="H451" s="2" t="s">
        <v>427</v>
      </c>
      <c r="I451" s="2" t="s">
        <v>16</v>
      </c>
      <c r="J451" s="2" t="s">
        <v>1095</v>
      </c>
      <c r="K451" s="2">
        <v>85.332750708330394</v>
      </c>
      <c r="L451" s="2">
        <v>86.741429458255894</v>
      </c>
      <c r="M451" s="2">
        <v>60.253229262041003</v>
      </c>
    </row>
    <row r="452" spans="1:13" x14ac:dyDescent="0.2">
      <c r="A452" s="2" t="s">
        <v>994</v>
      </c>
      <c r="B452" s="2">
        <v>51</v>
      </c>
      <c r="C452" s="2">
        <v>5</v>
      </c>
      <c r="D452" s="2">
        <v>1</v>
      </c>
      <c r="E452" s="2">
        <v>1</v>
      </c>
      <c r="F452" s="2">
        <v>1.1794157082913399</v>
      </c>
      <c r="G452" s="2" t="s">
        <v>178</v>
      </c>
      <c r="H452" s="2" t="s">
        <v>1096</v>
      </c>
      <c r="I452" s="2" t="s">
        <v>16</v>
      </c>
      <c r="J452" s="2" t="s">
        <v>1097</v>
      </c>
      <c r="K452" s="2">
        <v>86.745386916678399</v>
      </c>
      <c r="L452" s="2">
        <v>87.924828458344606</v>
      </c>
      <c r="M452" s="2">
        <v>60.253229262041003</v>
      </c>
    </row>
    <row r="453" spans="1:13" x14ac:dyDescent="0.2">
      <c r="A453" s="2" t="s">
        <v>994</v>
      </c>
      <c r="B453" s="2">
        <v>52</v>
      </c>
      <c r="C453" s="2">
        <v>5</v>
      </c>
      <c r="D453" s="2">
        <v>1</v>
      </c>
      <c r="E453" s="2">
        <v>1</v>
      </c>
      <c r="F453" s="2">
        <v>1.4293228749884299</v>
      </c>
      <c r="G453" s="2" t="s">
        <v>1098</v>
      </c>
      <c r="H453" s="2" t="s">
        <v>1099</v>
      </c>
      <c r="I453" s="2" t="s">
        <v>16</v>
      </c>
      <c r="J453" s="2" t="s">
        <v>1100</v>
      </c>
      <c r="K453" s="2">
        <v>87.928316583274906</v>
      </c>
      <c r="L453" s="2">
        <v>89.357729583280204</v>
      </c>
      <c r="M453" s="2">
        <v>60.253229262041003</v>
      </c>
    </row>
    <row r="454" spans="1:13" x14ac:dyDescent="0.2">
      <c r="A454" s="2" t="s">
        <v>994</v>
      </c>
      <c r="B454" s="2">
        <v>53</v>
      </c>
      <c r="C454" s="2">
        <v>5</v>
      </c>
      <c r="D454" s="2">
        <v>2</v>
      </c>
      <c r="E454" s="2">
        <v>0</v>
      </c>
      <c r="F454" s="2">
        <v>4.4964829999953499</v>
      </c>
      <c r="G454" s="2" t="s">
        <v>1101</v>
      </c>
      <c r="H454" s="2" t="s">
        <v>1102</v>
      </c>
      <c r="I454" s="2" t="s">
        <v>23</v>
      </c>
      <c r="J454" s="2" t="s">
        <v>1103</v>
      </c>
      <c r="K454" s="2">
        <v>89.361460916697993</v>
      </c>
      <c r="L454" s="2">
        <v>93.858052624971606</v>
      </c>
      <c r="M454" s="2">
        <v>60.253229262041003</v>
      </c>
    </row>
    <row r="455" spans="1:13" x14ac:dyDescent="0.2">
      <c r="A455" s="2" t="s">
        <v>994</v>
      </c>
      <c r="B455" s="2">
        <v>54</v>
      </c>
      <c r="C455" s="2">
        <v>5</v>
      </c>
      <c r="D455" s="2">
        <v>1</v>
      </c>
      <c r="E455" s="2">
        <v>1</v>
      </c>
      <c r="F455" s="2">
        <v>1.3291368333157201</v>
      </c>
      <c r="G455" s="2" t="s">
        <v>56</v>
      </c>
      <c r="H455" s="2" t="s">
        <v>1054</v>
      </c>
      <c r="I455" s="2" t="s">
        <v>16</v>
      </c>
      <c r="J455" s="2" t="s">
        <v>1104</v>
      </c>
      <c r="K455" s="2">
        <v>93.862127583357506</v>
      </c>
      <c r="L455" s="2">
        <v>95.191328583285198</v>
      </c>
      <c r="M455" s="2">
        <v>60.253229262041003</v>
      </c>
    </row>
    <row r="456" spans="1:13" x14ac:dyDescent="0.2">
      <c r="A456" s="2" t="s">
        <v>994</v>
      </c>
      <c r="B456" s="2">
        <v>55</v>
      </c>
      <c r="C456" s="2">
        <v>5</v>
      </c>
      <c r="D456" s="2">
        <v>1</v>
      </c>
      <c r="E456" s="2">
        <v>1</v>
      </c>
      <c r="F456" s="2">
        <v>1.6794785832753401</v>
      </c>
      <c r="G456" s="2" t="s">
        <v>1105</v>
      </c>
      <c r="H456" s="2" t="s">
        <v>196</v>
      </c>
      <c r="I456" s="2" t="s">
        <v>16</v>
      </c>
      <c r="J456" s="2" t="s">
        <v>1106</v>
      </c>
      <c r="K456" s="2">
        <v>95.195207749959096</v>
      </c>
      <c r="L456" s="2">
        <v>96.8747132082935</v>
      </c>
      <c r="M456" s="2">
        <v>60.253229262041003</v>
      </c>
    </row>
    <row r="457" spans="1:13" x14ac:dyDescent="0.2">
      <c r="A457" s="2" t="s">
        <v>994</v>
      </c>
      <c r="B457" s="2">
        <v>56</v>
      </c>
      <c r="C457" s="2">
        <v>5</v>
      </c>
      <c r="D457" s="2">
        <v>1</v>
      </c>
      <c r="E457" s="2">
        <v>1</v>
      </c>
      <c r="F457" s="2">
        <v>1.1295621666358799</v>
      </c>
      <c r="G457" s="2" t="s">
        <v>439</v>
      </c>
      <c r="H457" s="2" t="s">
        <v>1107</v>
      </c>
      <c r="I457" s="2" t="s">
        <v>16</v>
      </c>
      <c r="J457" s="2" t="s">
        <v>1108</v>
      </c>
      <c r="K457" s="2">
        <v>96.8785355415894</v>
      </c>
      <c r="L457" s="2">
        <v>98.008156875032</v>
      </c>
      <c r="M457" s="2">
        <v>60.253229262041003</v>
      </c>
    </row>
    <row r="458" spans="1:13" x14ac:dyDescent="0.2">
      <c r="A458" s="2" t="s">
        <v>994</v>
      </c>
      <c r="B458" s="2">
        <v>57</v>
      </c>
      <c r="C458" s="2">
        <v>5</v>
      </c>
      <c r="D458" s="2">
        <v>2</v>
      </c>
      <c r="E458" s="2">
        <v>0</v>
      </c>
      <c r="F458" s="2">
        <v>3.91185000003316</v>
      </c>
      <c r="G458" s="2" t="s">
        <v>1109</v>
      </c>
      <c r="H458" s="2" t="s">
        <v>1110</v>
      </c>
      <c r="I458" s="2" t="s">
        <v>23</v>
      </c>
      <c r="J458" s="2" t="s">
        <v>1111</v>
      </c>
      <c r="K458" s="2">
        <v>98.012605999945706</v>
      </c>
      <c r="L458" s="2">
        <v>101.92448391660599</v>
      </c>
      <c r="M458" s="2">
        <v>60.253229262041003</v>
      </c>
    </row>
    <row r="459" spans="1:13" x14ac:dyDescent="0.2">
      <c r="A459" s="2" t="s">
        <v>994</v>
      </c>
      <c r="B459" s="2">
        <v>58</v>
      </c>
      <c r="C459" s="2">
        <v>10</v>
      </c>
      <c r="D459" s="2">
        <v>1</v>
      </c>
      <c r="E459" s="2">
        <v>1</v>
      </c>
      <c r="F459" s="2">
        <v>1.32646045833826</v>
      </c>
      <c r="G459" s="2" t="s">
        <v>1112</v>
      </c>
      <c r="H459" s="2" t="s">
        <v>1113</v>
      </c>
      <c r="I459" s="2" t="s">
        <v>16</v>
      </c>
      <c r="J459" s="2" t="s">
        <v>1114</v>
      </c>
      <c r="K459" s="2">
        <v>101.931428125012</v>
      </c>
      <c r="L459" s="2">
        <v>103.257942875032</v>
      </c>
      <c r="M459" s="2">
        <v>60.253229262041003</v>
      </c>
    </row>
    <row r="460" spans="1:13" x14ac:dyDescent="0.2">
      <c r="A460" s="2" t="s">
        <v>994</v>
      </c>
      <c r="B460" s="2">
        <v>59</v>
      </c>
      <c r="C460" s="2">
        <v>10</v>
      </c>
      <c r="D460" s="2">
        <v>1</v>
      </c>
      <c r="E460" s="2">
        <v>1</v>
      </c>
      <c r="F460" s="2">
        <v>1.8421300833579199</v>
      </c>
      <c r="G460" s="2" t="s">
        <v>1115</v>
      </c>
      <c r="H460" s="2" t="s">
        <v>153</v>
      </c>
      <c r="I460" s="2" t="s">
        <v>16</v>
      </c>
      <c r="J460" s="2" t="s">
        <v>1116</v>
      </c>
      <c r="K460" s="2">
        <v>103.26625366660301</v>
      </c>
      <c r="L460" s="2">
        <v>105.108417541604</v>
      </c>
      <c r="M460" s="2">
        <v>60.253229262041003</v>
      </c>
    </row>
    <row r="461" spans="1:13" x14ac:dyDescent="0.2">
      <c r="A461" s="2" t="s">
        <v>994</v>
      </c>
      <c r="B461" s="2">
        <v>60</v>
      </c>
      <c r="C461" s="2">
        <v>5</v>
      </c>
      <c r="D461" s="2">
        <v>1</v>
      </c>
      <c r="E461" s="2">
        <v>1</v>
      </c>
      <c r="F461" s="2">
        <v>0.89627291657961905</v>
      </c>
      <c r="G461" s="2" t="s">
        <v>1117</v>
      </c>
      <c r="H461" s="2" t="s">
        <v>1118</v>
      </c>
      <c r="I461" s="2" t="s">
        <v>16</v>
      </c>
      <c r="J461" s="2" t="s">
        <v>1119</v>
      </c>
      <c r="K461" s="2">
        <v>105.112780666677</v>
      </c>
      <c r="L461" s="2">
        <v>106.009120416595</v>
      </c>
      <c r="M461" s="2">
        <v>60.253229262041003</v>
      </c>
    </row>
    <row r="462" spans="1:13" x14ac:dyDescent="0.2">
      <c r="A462" s="2" t="s">
        <v>994</v>
      </c>
      <c r="B462" s="2">
        <v>61</v>
      </c>
      <c r="C462" s="2">
        <v>10</v>
      </c>
      <c r="D462" s="2">
        <v>1</v>
      </c>
      <c r="E462" s="2">
        <v>1</v>
      </c>
      <c r="F462" s="2">
        <v>1.3037416250445</v>
      </c>
      <c r="G462" s="2" t="s">
        <v>366</v>
      </c>
      <c r="H462" s="2" t="s">
        <v>1120</v>
      </c>
      <c r="I462" s="2" t="s">
        <v>16</v>
      </c>
      <c r="J462" s="2" t="s">
        <v>1121</v>
      </c>
      <c r="K462" s="2">
        <v>106.021117458353</v>
      </c>
      <c r="L462" s="2">
        <v>107.324887416675</v>
      </c>
      <c r="M462" s="2">
        <v>60.253229262041003</v>
      </c>
    </row>
    <row r="463" spans="1:13" x14ac:dyDescent="0.2">
      <c r="A463" s="2" t="s">
        <v>994</v>
      </c>
      <c r="B463" s="2">
        <v>62</v>
      </c>
      <c r="C463" s="2">
        <v>10</v>
      </c>
      <c r="D463" s="2">
        <v>1</v>
      </c>
      <c r="E463" s="2">
        <v>1</v>
      </c>
      <c r="F463" s="2">
        <v>1.0083988333353799</v>
      </c>
      <c r="G463" s="2" t="s">
        <v>861</v>
      </c>
      <c r="H463" s="2" t="s">
        <v>1122</v>
      </c>
      <c r="I463" s="2" t="s">
        <v>16</v>
      </c>
      <c r="J463" s="2" t="s">
        <v>1123</v>
      </c>
      <c r="K463" s="2">
        <v>107.332948499941</v>
      </c>
      <c r="L463" s="2">
        <v>108.341399708297</v>
      </c>
      <c r="M463" s="2">
        <v>60.253229262041003</v>
      </c>
    </row>
    <row r="464" spans="1:13" x14ac:dyDescent="0.2">
      <c r="A464" s="2" t="s">
        <v>994</v>
      </c>
      <c r="B464" s="2">
        <v>63</v>
      </c>
      <c r="C464" s="2">
        <v>5</v>
      </c>
      <c r="D464" s="2">
        <v>1</v>
      </c>
      <c r="E464" s="2">
        <v>1</v>
      </c>
      <c r="F464" s="2">
        <v>1.1295336666517</v>
      </c>
      <c r="G464" s="2" t="s">
        <v>454</v>
      </c>
      <c r="H464" s="2" t="s">
        <v>362</v>
      </c>
      <c r="I464" s="2" t="s">
        <v>16</v>
      </c>
      <c r="J464" s="2" t="s">
        <v>1124</v>
      </c>
      <c r="K464" s="2">
        <v>108.345251458348</v>
      </c>
      <c r="L464" s="2">
        <v>109.474808291649</v>
      </c>
      <c r="M464" s="2">
        <v>60.253229262041003</v>
      </c>
    </row>
    <row r="465" spans="1:13" x14ac:dyDescent="0.2">
      <c r="A465" s="2" t="s">
        <v>994</v>
      </c>
      <c r="B465" s="2">
        <v>64</v>
      </c>
      <c r="C465" s="2">
        <v>5</v>
      </c>
      <c r="D465" s="2">
        <v>1</v>
      </c>
      <c r="E465" s="2">
        <v>1</v>
      </c>
      <c r="F465" s="2">
        <v>1.6962574166245801</v>
      </c>
      <c r="G465" s="2" t="s">
        <v>1022</v>
      </c>
      <c r="H465" s="2" t="s">
        <v>1046</v>
      </c>
      <c r="I465" s="2" t="s">
        <v>16</v>
      </c>
      <c r="J465" s="2" t="s">
        <v>1125</v>
      </c>
      <c r="K465" s="2">
        <v>109.478188583278</v>
      </c>
      <c r="L465" s="2">
        <v>111.17451199993999</v>
      </c>
      <c r="M465" s="2">
        <v>60.253229262041003</v>
      </c>
    </row>
    <row r="466" spans="1:13" x14ac:dyDescent="0.2">
      <c r="A466" s="2" t="s">
        <v>994</v>
      </c>
      <c r="B466" s="2">
        <v>65</v>
      </c>
      <c r="C466" s="2">
        <v>10</v>
      </c>
      <c r="D466" s="2">
        <v>1</v>
      </c>
      <c r="E466" s="2">
        <v>1</v>
      </c>
      <c r="F466" s="2">
        <v>1.14267079159617</v>
      </c>
      <c r="G466" s="2" t="s">
        <v>353</v>
      </c>
      <c r="H466" s="2" t="s">
        <v>1126</v>
      </c>
      <c r="I466" s="2" t="s">
        <v>16</v>
      </c>
      <c r="J466" s="2" t="s">
        <v>1127</v>
      </c>
      <c r="K466" s="2">
        <v>111.18235333333701</v>
      </c>
      <c r="L466" s="2">
        <v>112.325056041591</v>
      </c>
      <c r="M466" s="2">
        <v>60.253229262041003</v>
      </c>
    </row>
    <row r="467" spans="1:13" x14ac:dyDescent="0.2">
      <c r="A467" s="2" t="s">
        <v>994</v>
      </c>
      <c r="B467" s="2">
        <v>66</v>
      </c>
      <c r="C467" s="2">
        <v>10</v>
      </c>
      <c r="D467" s="2">
        <v>2</v>
      </c>
      <c r="E467" s="2">
        <v>0</v>
      </c>
      <c r="F467" s="2">
        <v>1.50766800006386</v>
      </c>
      <c r="G467" s="2" t="s">
        <v>1128</v>
      </c>
      <c r="H467" s="2" t="s">
        <v>1129</v>
      </c>
      <c r="I467" s="2" t="s">
        <v>23</v>
      </c>
      <c r="J467" s="2" t="s">
        <v>1130</v>
      </c>
      <c r="K467" s="2">
        <v>112.333529624972</v>
      </c>
      <c r="L467" s="2">
        <v>113.84123870835199</v>
      </c>
      <c r="M467" s="2">
        <v>60.253229262041003</v>
      </c>
    </row>
    <row r="468" spans="1:13" x14ac:dyDescent="0.2">
      <c r="A468" s="2" t="s">
        <v>994</v>
      </c>
      <c r="B468" s="2">
        <v>67</v>
      </c>
      <c r="C468" s="2">
        <v>10</v>
      </c>
      <c r="D468" s="2">
        <v>1</v>
      </c>
      <c r="E468" s="2">
        <v>1</v>
      </c>
      <c r="F468" s="2">
        <v>1.77716491674073</v>
      </c>
      <c r="G468" s="2" t="s">
        <v>126</v>
      </c>
      <c r="H468" s="2" t="s">
        <v>77</v>
      </c>
      <c r="I468" s="2" t="s">
        <v>16</v>
      </c>
      <c r="J468" s="2" t="s">
        <v>1131</v>
      </c>
      <c r="K468" s="2">
        <v>113.849621666595</v>
      </c>
      <c r="L468" s="2">
        <v>115.62693249993001</v>
      </c>
      <c r="M468" s="2">
        <v>60.253229262041003</v>
      </c>
    </row>
    <row r="469" spans="1:13" x14ac:dyDescent="0.2">
      <c r="A469" s="2" t="s">
        <v>994</v>
      </c>
      <c r="B469" s="2">
        <v>68</v>
      </c>
      <c r="C469" s="2">
        <v>5</v>
      </c>
      <c r="D469" s="2">
        <v>1</v>
      </c>
      <c r="E469" s="2">
        <v>1</v>
      </c>
      <c r="F469" s="2">
        <v>1.59145008330233</v>
      </c>
      <c r="G469" s="2" t="s">
        <v>1132</v>
      </c>
      <c r="H469" s="2" t="s">
        <v>1133</v>
      </c>
      <c r="I469" s="2" t="s">
        <v>16</v>
      </c>
      <c r="J469" s="2" t="s">
        <v>1134</v>
      </c>
      <c r="K469" s="2">
        <v>115.63505504163901</v>
      </c>
      <c r="L469" s="2">
        <v>117.226604499971</v>
      </c>
      <c r="M469" s="2">
        <v>60.253229262041003</v>
      </c>
    </row>
    <row r="470" spans="1:13" x14ac:dyDescent="0.2">
      <c r="A470" s="2" t="s">
        <v>994</v>
      </c>
      <c r="B470" s="2">
        <v>69</v>
      </c>
      <c r="C470" s="2">
        <v>5</v>
      </c>
      <c r="D470" s="2">
        <v>1</v>
      </c>
      <c r="E470" s="2">
        <v>1</v>
      </c>
      <c r="F470" s="2">
        <v>1.40939845831599</v>
      </c>
      <c r="G470" s="2" t="s">
        <v>426</v>
      </c>
      <c r="H470" s="2" t="s">
        <v>266</v>
      </c>
      <c r="I470" s="2" t="s">
        <v>16</v>
      </c>
      <c r="J470" s="2" t="s">
        <v>1135</v>
      </c>
      <c r="K470" s="2">
        <v>117.23333837499401</v>
      </c>
      <c r="L470" s="2">
        <v>118.64282183325901</v>
      </c>
      <c r="M470" s="2">
        <v>60.253229262041003</v>
      </c>
    </row>
    <row r="471" spans="1:13" x14ac:dyDescent="0.2">
      <c r="A471" s="2" t="s">
        <v>994</v>
      </c>
      <c r="B471" s="2">
        <v>70</v>
      </c>
      <c r="C471" s="2">
        <v>10</v>
      </c>
      <c r="D471" s="2">
        <v>1</v>
      </c>
      <c r="E471" s="2">
        <v>1</v>
      </c>
      <c r="F471" s="2">
        <v>2.3703206250211202</v>
      </c>
      <c r="G471" s="2" t="s">
        <v>1136</v>
      </c>
      <c r="H471" s="2" t="s">
        <v>1137</v>
      </c>
      <c r="I471" s="2" t="s">
        <v>16</v>
      </c>
      <c r="J471" s="2" t="s">
        <v>1138</v>
      </c>
      <c r="K471" s="2">
        <v>118.655366458348</v>
      </c>
      <c r="L471" s="2">
        <v>121.025751208304</v>
      </c>
      <c r="M471" s="2">
        <v>60.253229262041003</v>
      </c>
    </row>
    <row r="472" spans="1:13" x14ac:dyDescent="0.2">
      <c r="A472" s="2" t="s">
        <v>994</v>
      </c>
      <c r="B472" s="2">
        <v>71</v>
      </c>
      <c r="C472" s="2">
        <v>5</v>
      </c>
      <c r="D472" s="2">
        <v>1</v>
      </c>
      <c r="E472" s="2">
        <v>1</v>
      </c>
      <c r="F472" s="2">
        <v>1.4102564167697</v>
      </c>
      <c r="G472" s="2" t="s">
        <v>1139</v>
      </c>
      <c r="H472" s="2" t="s">
        <v>695</v>
      </c>
      <c r="I472" s="2" t="s">
        <v>16</v>
      </c>
      <c r="J472" s="2" t="s">
        <v>1140</v>
      </c>
      <c r="K472" s="2">
        <v>121.033146541682</v>
      </c>
      <c r="L472" s="2">
        <v>122.443494458334</v>
      </c>
      <c r="M472" s="2">
        <v>60.253229262041003</v>
      </c>
    </row>
    <row r="473" spans="1:13" x14ac:dyDescent="0.2">
      <c r="A473" s="2" t="s">
        <v>994</v>
      </c>
      <c r="B473" s="2">
        <v>72</v>
      </c>
      <c r="C473" s="2">
        <v>10</v>
      </c>
      <c r="D473" s="2">
        <v>1</v>
      </c>
      <c r="E473" s="2">
        <v>1</v>
      </c>
      <c r="F473" s="2">
        <v>1.18711116665509</v>
      </c>
      <c r="G473" s="2" t="s">
        <v>608</v>
      </c>
      <c r="H473" s="2" t="s">
        <v>26</v>
      </c>
      <c r="I473" s="2" t="s">
        <v>16</v>
      </c>
      <c r="J473" s="2" t="s">
        <v>1141</v>
      </c>
      <c r="K473" s="2">
        <v>122.456984624965</v>
      </c>
      <c r="L473" s="2">
        <v>123.64418845833301</v>
      </c>
      <c r="M473" s="2">
        <v>60.253229262041003</v>
      </c>
    </row>
    <row r="474" spans="1:13" x14ac:dyDescent="0.2">
      <c r="A474" s="2" t="s">
        <v>994</v>
      </c>
      <c r="B474" s="2">
        <v>73</v>
      </c>
      <c r="C474" s="2">
        <v>5</v>
      </c>
      <c r="D474" s="2">
        <v>1</v>
      </c>
      <c r="E474" s="2">
        <v>1</v>
      </c>
      <c r="F474" s="2">
        <v>1.7260505000594999</v>
      </c>
      <c r="G474" s="2" t="s">
        <v>804</v>
      </c>
      <c r="H474" s="2" t="s">
        <v>1142</v>
      </c>
      <c r="I474" s="2" t="s">
        <v>16</v>
      </c>
      <c r="J474" s="2" t="s">
        <v>1143</v>
      </c>
      <c r="K474" s="2">
        <v>123.650079958257</v>
      </c>
      <c r="L474" s="2">
        <v>125.376216791687</v>
      </c>
      <c r="M474" s="2">
        <v>60.253229262041003</v>
      </c>
    </row>
    <row r="475" spans="1:13" x14ac:dyDescent="0.2">
      <c r="A475" s="2" t="s">
        <v>994</v>
      </c>
      <c r="B475" s="2">
        <v>74</v>
      </c>
      <c r="C475" s="2">
        <v>10</v>
      </c>
      <c r="D475" s="2">
        <v>1</v>
      </c>
      <c r="E475" s="2">
        <v>1</v>
      </c>
      <c r="F475" s="2">
        <v>1.62301383330487</v>
      </c>
      <c r="G475" s="2" t="s">
        <v>1144</v>
      </c>
      <c r="H475" s="2" t="s">
        <v>332</v>
      </c>
      <c r="I475" s="2" t="s">
        <v>16</v>
      </c>
      <c r="J475" s="2" t="s">
        <v>1145</v>
      </c>
      <c r="K475" s="2">
        <v>125.386517416686</v>
      </c>
      <c r="L475" s="2">
        <v>127.009628208354</v>
      </c>
      <c r="M475" s="2">
        <v>60.253229262041003</v>
      </c>
    </row>
    <row r="476" spans="1:13" x14ac:dyDescent="0.2">
      <c r="A476" s="2" t="s">
        <v>994</v>
      </c>
      <c r="B476" s="2">
        <v>75</v>
      </c>
      <c r="C476" s="2">
        <v>10</v>
      </c>
      <c r="D476" s="2">
        <v>1</v>
      </c>
      <c r="E476" s="2">
        <v>1</v>
      </c>
      <c r="F476" s="2">
        <v>1.33948654169217</v>
      </c>
      <c r="G476" s="2" t="s">
        <v>608</v>
      </c>
      <c r="H476" s="2" t="s">
        <v>505</v>
      </c>
      <c r="I476" s="2" t="s">
        <v>16</v>
      </c>
      <c r="J476" s="2" t="s">
        <v>1146</v>
      </c>
      <c r="K476" s="2">
        <v>127.020196791622</v>
      </c>
      <c r="L476" s="2">
        <v>128.35977641667699</v>
      </c>
      <c r="M476" s="2">
        <v>60.253229262041003</v>
      </c>
    </row>
    <row r="477" spans="1:13" x14ac:dyDescent="0.2">
      <c r="A477" s="2" t="s">
        <v>994</v>
      </c>
      <c r="B477" s="2">
        <v>76</v>
      </c>
      <c r="C477" s="2">
        <v>5</v>
      </c>
      <c r="D477" s="2">
        <v>1</v>
      </c>
      <c r="E477" s="2">
        <v>1</v>
      </c>
      <c r="F477" s="2">
        <v>1.31062820833176</v>
      </c>
      <c r="G477" s="2" t="s">
        <v>800</v>
      </c>
      <c r="H477" s="2" t="s">
        <v>396</v>
      </c>
      <c r="I477" s="2" t="s">
        <v>16</v>
      </c>
      <c r="J477" s="2" t="s">
        <v>1147</v>
      </c>
      <c r="K477" s="2">
        <v>128.36568016663699</v>
      </c>
      <c r="L477" s="2">
        <v>129.676404083264</v>
      </c>
      <c r="M477" s="2">
        <v>60.253229262041003</v>
      </c>
    </row>
    <row r="478" spans="1:13" x14ac:dyDescent="0.2">
      <c r="A478" s="2" t="s">
        <v>994</v>
      </c>
      <c r="B478" s="2">
        <v>77</v>
      </c>
      <c r="C478" s="2">
        <v>10</v>
      </c>
      <c r="D478" s="2">
        <v>1</v>
      </c>
      <c r="E478" s="2">
        <v>1</v>
      </c>
      <c r="F478" s="2">
        <v>1.37315137498081</v>
      </c>
      <c r="G478" s="2" t="s">
        <v>210</v>
      </c>
      <c r="H478" s="2" t="s">
        <v>669</v>
      </c>
      <c r="I478" s="2" t="s">
        <v>16</v>
      </c>
      <c r="J478" s="2" t="s">
        <v>1148</v>
      </c>
      <c r="K478" s="2">
        <v>129.68677149992399</v>
      </c>
      <c r="L478" s="2">
        <v>131.060038833297</v>
      </c>
      <c r="M478" s="2">
        <v>60.253229262041003</v>
      </c>
    </row>
    <row r="479" spans="1:13" x14ac:dyDescent="0.2">
      <c r="A479" s="2" t="s">
        <v>994</v>
      </c>
      <c r="B479" s="2">
        <v>78</v>
      </c>
      <c r="C479" s="2">
        <v>10</v>
      </c>
      <c r="D479" s="2">
        <v>1</v>
      </c>
      <c r="E479" s="2">
        <v>1</v>
      </c>
      <c r="F479" s="2">
        <v>1.30451695830561</v>
      </c>
      <c r="G479" s="2" t="s">
        <v>460</v>
      </c>
      <c r="H479" s="2" t="s">
        <v>1149</v>
      </c>
      <c r="I479" s="2" t="s">
        <v>16</v>
      </c>
      <c r="J479" s="2" t="s">
        <v>1150</v>
      </c>
      <c r="K479" s="2">
        <v>131.07209487492199</v>
      </c>
      <c r="L479" s="2">
        <v>132.376718499931</v>
      </c>
      <c r="M479" s="2">
        <v>60.253229262041003</v>
      </c>
    </row>
    <row r="480" spans="1:13" x14ac:dyDescent="0.2">
      <c r="A480" s="2" t="s">
        <v>994</v>
      </c>
      <c r="B480" s="2">
        <v>79</v>
      </c>
      <c r="C480" s="2">
        <v>5</v>
      </c>
      <c r="D480" s="2">
        <v>1</v>
      </c>
      <c r="E480" s="2">
        <v>1</v>
      </c>
      <c r="F480" s="2">
        <v>1.24249425006565</v>
      </c>
      <c r="G480" s="2" t="s">
        <v>392</v>
      </c>
      <c r="H480" s="2" t="s">
        <v>1151</v>
      </c>
      <c r="I480" s="2" t="s">
        <v>16</v>
      </c>
      <c r="J480" s="2" t="s">
        <v>1152</v>
      </c>
      <c r="K480" s="2">
        <v>132.38315699994601</v>
      </c>
      <c r="L480" s="2">
        <v>133.62571562500699</v>
      </c>
      <c r="M480" s="2">
        <v>60.253229262041003</v>
      </c>
    </row>
    <row r="481" spans="1:13" x14ac:dyDescent="0.2">
      <c r="A481" s="2" t="s">
        <v>994</v>
      </c>
      <c r="B481" s="2">
        <v>80</v>
      </c>
      <c r="C481" s="2">
        <v>10</v>
      </c>
      <c r="D481" s="2">
        <v>1</v>
      </c>
      <c r="E481" s="2">
        <v>1</v>
      </c>
      <c r="F481" s="2">
        <v>1.77116974990349</v>
      </c>
      <c r="G481" s="2" t="s">
        <v>1096</v>
      </c>
      <c r="H481" s="2" t="s">
        <v>1153</v>
      </c>
      <c r="I481" s="2" t="s">
        <v>16</v>
      </c>
      <c r="J481" s="2" t="s">
        <v>1154</v>
      </c>
      <c r="K481" s="2">
        <v>133.63793887500699</v>
      </c>
      <c r="L481" s="2">
        <v>135.40918149997</v>
      </c>
      <c r="M481" s="2">
        <v>60.253229262041003</v>
      </c>
    </row>
    <row r="482" spans="1:13" x14ac:dyDescent="0.2">
      <c r="A482" s="2" t="s">
        <v>994</v>
      </c>
      <c r="B482" s="2">
        <v>81</v>
      </c>
      <c r="C482" s="2">
        <v>10</v>
      </c>
      <c r="D482" s="2">
        <v>1</v>
      </c>
      <c r="E482" s="2">
        <v>1</v>
      </c>
      <c r="F482" s="2">
        <v>1.6221132500795701</v>
      </c>
      <c r="G482" s="2" t="s">
        <v>619</v>
      </c>
      <c r="H482" s="2" t="s">
        <v>1155</v>
      </c>
      <c r="I482" s="2" t="s">
        <v>16</v>
      </c>
      <c r="J482" s="2" t="s">
        <v>1156</v>
      </c>
      <c r="K482" s="2">
        <v>135.42126658326001</v>
      </c>
      <c r="L482" s="2">
        <v>137.04349612502901</v>
      </c>
      <c r="M482" s="2">
        <v>60.253229262041003</v>
      </c>
    </row>
    <row r="483" spans="1:13" x14ac:dyDescent="0.2">
      <c r="A483" s="2" t="s">
        <v>994</v>
      </c>
      <c r="B483" s="2">
        <v>82</v>
      </c>
      <c r="C483" s="2">
        <v>5</v>
      </c>
      <c r="D483" s="2">
        <v>1</v>
      </c>
      <c r="E483" s="2">
        <v>1</v>
      </c>
      <c r="F483" s="2">
        <v>1.5249492082512</v>
      </c>
      <c r="G483" s="2" t="s">
        <v>898</v>
      </c>
      <c r="H483" s="2" t="s">
        <v>431</v>
      </c>
      <c r="I483" s="2" t="s">
        <v>16</v>
      </c>
      <c r="J483" s="2" t="s">
        <v>1157</v>
      </c>
      <c r="K483" s="2">
        <v>137.05065062502399</v>
      </c>
      <c r="L483" s="2">
        <v>138.57564974995299</v>
      </c>
      <c r="M483" s="2">
        <v>60.253229262041003</v>
      </c>
    </row>
    <row r="484" spans="1:13" x14ac:dyDescent="0.2">
      <c r="A484" s="2" t="s">
        <v>994</v>
      </c>
      <c r="B484" s="2">
        <v>83</v>
      </c>
      <c r="C484" s="2">
        <v>10</v>
      </c>
      <c r="D484" s="2">
        <v>1</v>
      </c>
      <c r="E484" s="2">
        <v>1</v>
      </c>
      <c r="F484" s="2">
        <v>1.53806779161096</v>
      </c>
      <c r="G484" s="2" t="s">
        <v>93</v>
      </c>
      <c r="H484" s="2" t="s">
        <v>1158</v>
      </c>
      <c r="I484" s="2" t="s">
        <v>16</v>
      </c>
      <c r="J484" s="2" t="s">
        <v>1159</v>
      </c>
      <c r="K484" s="2">
        <v>138.58742154168399</v>
      </c>
      <c r="L484" s="2">
        <v>140.12554208328999</v>
      </c>
      <c r="M484" s="2">
        <v>60.253229262041003</v>
      </c>
    </row>
    <row r="485" spans="1:13" x14ac:dyDescent="0.2">
      <c r="A485" s="2" t="s">
        <v>994</v>
      </c>
      <c r="B485" s="2">
        <v>84</v>
      </c>
      <c r="C485" s="2">
        <v>5</v>
      </c>
      <c r="D485" s="2">
        <v>1</v>
      </c>
      <c r="E485" s="2">
        <v>1</v>
      </c>
      <c r="F485" s="2">
        <v>1.37606187502388</v>
      </c>
      <c r="G485" s="2" t="s">
        <v>1160</v>
      </c>
      <c r="H485" s="2" t="s">
        <v>1161</v>
      </c>
      <c r="I485" s="2" t="s">
        <v>16</v>
      </c>
      <c r="J485" s="2" t="s">
        <v>1162</v>
      </c>
      <c r="K485" s="2">
        <v>140.13204095827001</v>
      </c>
      <c r="L485" s="2">
        <v>141.50812629167899</v>
      </c>
      <c r="M485" s="2">
        <v>60.253229262041003</v>
      </c>
    </row>
    <row r="486" spans="1:13" x14ac:dyDescent="0.2">
      <c r="A486" s="2" t="s">
        <v>994</v>
      </c>
      <c r="B486" s="2">
        <v>85</v>
      </c>
      <c r="C486" s="2">
        <v>10</v>
      </c>
      <c r="D486" s="2">
        <v>1</v>
      </c>
      <c r="E486" s="2">
        <v>1</v>
      </c>
      <c r="F486" s="2">
        <v>2.10955095826648</v>
      </c>
      <c r="G486" s="2" t="s">
        <v>1163</v>
      </c>
      <c r="H486" s="2" t="s">
        <v>334</v>
      </c>
      <c r="I486" s="2" t="s">
        <v>16</v>
      </c>
      <c r="J486" s="2" t="s">
        <v>1164</v>
      </c>
      <c r="K486" s="2">
        <v>141.51532829168701</v>
      </c>
      <c r="L486" s="2">
        <v>143.62491837493101</v>
      </c>
      <c r="M486" s="2">
        <v>60.253229262041003</v>
      </c>
    </row>
    <row r="487" spans="1:13" x14ac:dyDescent="0.2">
      <c r="A487" s="2" t="s">
        <v>994</v>
      </c>
      <c r="B487" s="2">
        <v>86</v>
      </c>
      <c r="C487" s="2">
        <v>10</v>
      </c>
      <c r="D487" s="2">
        <v>1</v>
      </c>
      <c r="E487" s="2">
        <v>1</v>
      </c>
      <c r="F487" s="2">
        <v>2.7256746250204702</v>
      </c>
      <c r="G487" s="2" t="s">
        <v>1165</v>
      </c>
      <c r="H487" s="2" t="s">
        <v>346</v>
      </c>
      <c r="I487" s="2" t="s">
        <v>16</v>
      </c>
      <c r="J487" s="2" t="s">
        <v>1166</v>
      </c>
      <c r="K487" s="2">
        <v>143.63318783335899</v>
      </c>
      <c r="L487" s="2">
        <v>146.35891495831299</v>
      </c>
      <c r="M487" s="2">
        <v>60.253229262041003</v>
      </c>
    </row>
    <row r="488" spans="1:13" x14ac:dyDescent="0.2">
      <c r="A488" s="2" t="s">
        <v>994</v>
      </c>
      <c r="B488" s="2">
        <v>87</v>
      </c>
      <c r="C488" s="2">
        <v>10</v>
      </c>
      <c r="D488" s="2">
        <v>1</v>
      </c>
      <c r="E488" s="2">
        <v>1</v>
      </c>
      <c r="F488" s="2">
        <v>1.7043319583172001</v>
      </c>
      <c r="G488" s="2" t="s">
        <v>1082</v>
      </c>
      <c r="H488" s="2" t="s">
        <v>1167</v>
      </c>
      <c r="I488" s="2" t="s">
        <v>16</v>
      </c>
      <c r="J488" s="2" t="s">
        <v>1168</v>
      </c>
      <c r="K488" s="2">
        <v>146.371475416701</v>
      </c>
      <c r="L488" s="2">
        <v>148.07587320834901</v>
      </c>
      <c r="M488" s="2">
        <v>60.253229262041003</v>
      </c>
    </row>
    <row r="489" spans="1:13" x14ac:dyDescent="0.2">
      <c r="A489" s="2" t="s">
        <v>994</v>
      </c>
      <c r="B489" s="2">
        <v>88</v>
      </c>
      <c r="C489" s="2">
        <v>10</v>
      </c>
      <c r="D489" s="2">
        <v>1</v>
      </c>
      <c r="E489" s="2">
        <v>1</v>
      </c>
      <c r="F489" s="2">
        <v>2.6705255000852102</v>
      </c>
      <c r="G489" s="2" t="s">
        <v>59</v>
      </c>
      <c r="H489" s="2" t="s">
        <v>254</v>
      </c>
      <c r="I489" s="2" t="s">
        <v>16</v>
      </c>
      <c r="J489" s="2" t="s">
        <v>1169</v>
      </c>
      <c r="K489" s="2">
        <v>148.088072583312</v>
      </c>
      <c r="L489" s="2">
        <v>150.75864899996699</v>
      </c>
      <c r="M489" s="2">
        <v>60.253229262041003</v>
      </c>
    </row>
    <row r="490" spans="1:13" x14ac:dyDescent="0.2">
      <c r="A490" s="2" t="s">
        <v>994</v>
      </c>
      <c r="B490" s="2">
        <v>89</v>
      </c>
      <c r="C490" s="2">
        <v>10</v>
      </c>
      <c r="D490" s="2">
        <v>1</v>
      </c>
      <c r="E490" s="2">
        <v>1</v>
      </c>
      <c r="F490" s="2">
        <v>2.3201052083168201</v>
      </c>
      <c r="G490" s="2" t="s">
        <v>424</v>
      </c>
      <c r="H490" s="2" t="s">
        <v>221</v>
      </c>
      <c r="I490" s="2" t="s">
        <v>16</v>
      </c>
      <c r="J490" s="2" t="s">
        <v>1170</v>
      </c>
      <c r="K490" s="2">
        <v>150.770956166671</v>
      </c>
      <c r="L490" s="2">
        <v>153.09108899999401</v>
      </c>
      <c r="M490" s="2">
        <v>60.253229262041003</v>
      </c>
    </row>
    <row r="491" spans="1:13" x14ac:dyDescent="0.2">
      <c r="A491" s="2" t="s">
        <v>994</v>
      </c>
      <c r="B491" s="2">
        <v>90</v>
      </c>
      <c r="C491" s="2">
        <v>10</v>
      </c>
      <c r="D491" s="2">
        <v>1</v>
      </c>
      <c r="E491" s="2">
        <v>1</v>
      </c>
      <c r="F491" s="2">
        <v>1.79392975009978</v>
      </c>
      <c r="G491" s="2" t="s">
        <v>1171</v>
      </c>
      <c r="H491" s="2" t="s">
        <v>1172</v>
      </c>
      <c r="I491" s="2" t="s">
        <v>16</v>
      </c>
      <c r="J491" s="2" t="s">
        <v>1173</v>
      </c>
      <c r="K491" s="2">
        <v>153.09739687503301</v>
      </c>
      <c r="L491" s="2">
        <v>154.89134849992101</v>
      </c>
      <c r="M491" s="2">
        <v>60.253229262041003</v>
      </c>
    </row>
    <row r="492" spans="1:13" x14ac:dyDescent="0.2">
      <c r="A492" s="2" t="s">
        <v>994</v>
      </c>
      <c r="B492" s="2">
        <v>91</v>
      </c>
      <c r="C492" s="2">
        <v>5</v>
      </c>
      <c r="D492" s="2">
        <v>1</v>
      </c>
      <c r="E492" s="2">
        <v>1</v>
      </c>
      <c r="F492" s="2">
        <v>1.6630357917165399</v>
      </c>
      <c r="G492" s="2" t="s">
        <v>296</v>
      </c>
      <c r="H492" s="2" t="s">
        <v>121</v>
      </c>
      <c r="I492" s="2" t="s">
        <v>16</v>
      </c>
      <c r="J492" s="2" t="s">
        <v>1174</v>
      </c>
      <c r="K492" s="2">
        <v>154.894758166629</v>
      </c>
      <c r="L492" s="2">
        <v>156.557840249967</v>
      </c>
      <c r="M492" s="2">
        <v>60.253229262041003</v>
      </c>
    </row>
    <row r="493" spans="1:13" x14ac:dyDescent="0.2">
      <c r="A493" s="2" t="s">
        <v>994</v>
      </c>
      <c r="B493" s="2">
        <v>92</v>
      </c>
      <c r="C493" s="2">
        <v>5</v>
      </c>
      <c r="D493" s="2">
        <v>1</v>
      </c>
      <c r="E493" s="2">
        <v>1</v>
      </c>
      <c r="F493" s="2">
        <v>1.0300712917232899</v>
      </c>
      <c r="G493" s="2" t="s">
        <v>213</v>
      </c>
      <c r="H493" s="2" t="s">
        <v>1175</v>
      </c>
      <c r="I493" s="2" t="s">
        <v>16</v>
      </c>
      <c r="J493" s="2" t="s">
        <v>1176</v>
      </c>
      <c r="K493" s="2">
        <v>156.561383791617</v>
      </c>
      <c r="L493" s="2">
        <v>157.591493833344</v>
      </c>
      <c r="M493" s="2">
        <v>60.253229262041003</v>
      </c>
    </row>
    <row r="494" spans="1:13" x14ac:dyDescent="0.2">
      <c r="A494" s="2" t="s">
        <v>994</v>
      </c>
      <c r="B494" s="2">
        <v>93</v>
      </c>
      <c r="C494" s="2">
        <v>10</v>
      </c>
      <c r="D494" s="2">
        <v>2</v>
      </c>
      <c r="E494" s="2">
        <v>0</v>
      </c>
      <c r="F494" s="2">
        <v>2.2761092917062302</v>
      </c>
      <c r="G494" s="2" t="s">
        <v>1177</v>
      </c>
      <c r="H494" s="2" t="s">
        <v>1178</v>
      </c>
      <c r="I494" s="2" t="s">
        <v>23</v>
      </c>
      <c r="J494" s="2" t="s">
        <v>1179</v>
      </c>
      <c r="K494" s="2">
        <v>157.59840150002901</v>
      </c>
      <c r="L494" s="2">
        <v>159.87454374996</v>
      </c>
      <c r="M494" s="2">
        <v>60.253229262041003</v>
      </c>
    </row>
    <row r="495" spans="1:13" x14ac:dyDescent="0.2">
      <c r="A495" s="2" t="s">
        <v>994</v>
      </c>
      <c r="B495" s="2">
        <v>94</v>
      </c>
      <c r="C495" s="2">
        <v>5</v>
      </c>
      <c r="D495" s="2">
        <v>1</v>
      </c>
      <c r="E495" s="2">
        <v>1</v>
      </c>
      <c r="F495" s="2">
        <v>2.7121379582677001</v>
      </c>
      <c r="G495" s="2" t="s">
        <v>1180</v>
      </c>
      <c r="H495" s="2" t="s">
        <v>1181</v>
      </c>
      <c r="I495" s="2" t="s">
        <v>16</v>
      </c>
      <c r="J495" s="2" t="s">
        <v>1182</v>
      </c>
      <c r="K495" s="2">
        <v>159.87913820834399</v>
      </c>
      <c r="L495" s="2">
        <v>162.59129749995199</v>
      </c>
      <c r="M495" s="2">
        <v>60.253229262041003</v>
      </c>
    </row>
    <row r="496" spans="1:13" x14ac:dyDescent="0.2">
      <c r="A496" s="2" t="s">
        <v>994</v>
      </c>
      <c r="B496" s="2">
        <v>95</v>
      </c>
      <c r="C496" s="2">
        <v>10</v>
      </c>
      <c r="D496" s="2">
        <v>1</v>
      </c>
      <c r="E496" s="2">
        <v>1</v>
      </c>
      <c r="F496" s="2">
        <v>2.7602181666297798</v>
      </c>
      <c r="G496" s="2" t="s">
        <v>470</v>
      </c>
      <c r="H496" s="2" t="s">
        <v>1062</v>
      </c>
      <c r="I496" s="2" t="s">
        <v>16</v>
      </c>
      <c r="J496" s="2" t="s">
        <v>1183</v>
      </c>
      <c r="K496" s="2">
        <v>162.59768170828499</v>
      </c>
      <c r="L496" s="2">
        <v>165.357926041703</v>
      </c>
      <c r="M496" s="2">
        <v>60.253229262041003</v>
      </c>
    </row>
    <row r="497" spans="1:13" x14ac:dyDescent="0.2">
      <c r="A497" s="2" t="s">
        <v>994</v>
      </c>
      <c r="B497" s="2">
        <v>96</v>
      </c>
      <c r="C497" s="2">
        <v>5</v>
      </c>
      <c r="D497" s="2">
        <v>1</v>
      </c>
      <c r="E497" s="2">
        <v>1</v>
      </c>
      <c r="F497" s="2">
        <v>1.2628580000018701</v>
      </c>
      <c r="G497" s="2" t="s">
        <v>393</v>
      </c>
      <c r="H497" s="2" t="s">
        <v>537</v>
      </c>
      <c r="I497" s="2" t="s">
        <v>16</v>
      </c>
      <c r="J497" s="2" t="s">
        <v>1184</v>
      </c>
      <c r="K497" s="2">
        <v>165.36182658327701</v>
      </c>
      <c r="L497" s="2">
        <v>166.62470687495099</v>
      </c>
      <c r="M497" s="2">
        <v>60.253229262041003</v>
      </c>
    </row>
    <row r="498" spans="1:13" x14ac:dyDescent="0.2">
      <c r="A498" s="2" t="s">
        <v>994</v>
      </c>
      <c r="B498" s="2">
        <v>97</v>
      </c>
      <c r="C498" s="2">
        <v>5</v>
      </c>
      <c r="D498" s="2">
        <v>1</v>
      </c>
      <c r="E498" s="2">
        <v>1</v>
      </c>
      <c r="F498" s="2">
        <v>1.39733100007288</v>
      </c>
      <c r="G498" s="2" t="s">
        <v>443</v>
      </c>
      <c r="H498" s="2" t="s">
        <v>216</v>
      </c>
      <c r="I498" s="2" t="s">
        <v>16</v>
      </c>
      <c r="J498" s="2" t="s">
        <v>1185</v>
      </c>
      <c r="K498" s="2">
        <v>166.62810466659701</v>
      </c>
      <c r="L498" s="2">
        <v>168.02548808336701</v>
      </c>
      <c r="M498" s="2">
        <v>60.253229262041003</v>
      </c>
    </row>
    <row r="499" spans="1:13" x14ac:dyDescent="0.2">
      <c r="A499" s="2" t="s">
        <v>994</v>
      </c>
      <c r="B499" s="2">
        <v>98</v>
      </c>
      <c r="C499" s="2">
        <v>10</v>
      </c>
      <c r="D499" s="2">
        <v>1</v>
      </c>
      <c r="E499" s="2">
        <v>1</v>
      </c>
      <c r="F499" s="2">
        <v>0.90767554158810504</v>
      </c>
      <c r="G499" s="2" t="s">
        <v>1186</v>
      </c>
      <c r="H499" s="2" t="s">
        <v>38</v>
      </c>
      <c r="I499" s="2" t="s">
        <v>16</v>
      </c>
      <c r="J499" s="2" t="s">
        <v>1187</v>
      </c>
      <c r="K499" s="2">
        <v>168.03351733333</v>
      </c>
      <c r="L499" s="2">
        <v>168.94121650001</v>
      </c>
      <c r="M499" s="2">
        <v>60.253229262041003</v>
      </c>
    </row>
    <row r="500" spans="1:13" x14ac:dyDescent="0.2">
      <c r="A500" s="2" t="s">
        <v>994</v>
      </c>
      <c r="B500" s="2">
        <v>99</v>
      </c>
      <c r="C500" s="2">
        <v>5</v>
      </c>
      <c r="D500" s="2">
        <v>1</v>
      </c>
      <c r="E500" s="2">
        <v>1</v>
      </c>
      <c r="F500" s="2">
        <v>1.0793437083484601</v>
      </c>
      <c r="G500" s="2" t="s">
        <v>202</v>
      </c>
      <c r="H500" s="2" t="s">
        <v>1188</v>
      </c>
      <c r="I500" s="2" t="s">
        <v>16</v>
      </c>
      <c r="J500" s="2" t="s">
        <v>1189</v>
      </c>
      <c r="K500" s="2">
        <v>168.945379458368</v>
      </c>
      <c r="L500" s="2">
        <v>170.024768791627</v>
      </c>
      <c r="M500" s="2">
        <v>60.253229262041003</v>
      </c>
    </row>
    <row r="501" spans="1:13" x14ac:dyDescent="0.2">
      <c r="A501" s="2" t="s">
        <v>994</v>
      </c>
      <c r="B501" s="2">
        <v>100</v>
      </c>
      <c r="C501" s="2">
        <v>5</v>
      </c>
      <c r="D501" s="2">
        <v>1</v>
      </c>
      <c r="E501" s="2">
        <v>1</v>
      </c>
      <c r="F501" s="2">
        <v>1.0127995416987701</v>
      </c>
      <c r="G501" s="2" t="s">
        <v>323</v>
      </c>
      <c r="H501" s="2" t="s">
        <v>992</v>
      </c>
      <c r="I501" s="2" t="s">
        <v>16</v>
      </c>
      <c r="J501" s="2" t="s">
        <v>1190</v>
      </c>
      <c r="K501" s="2">
        <v>170.028113416629</v>
      </c>
      <c r="L501" s="2">
        <v>171.04095758334699</v>
      </c>
      <c r="M501" s="2">
        <v>60.253229262041003</v>
      </c>
    </row>
    <row r="502" spans="1:13" x14ac:dyDescent="0.2">
      <c r="A502" s="2" t="s">
        <v>994</v>
      </c>
      <c r="B502" s="2">
        <v>101</v>
      </c>
      <c r="C502" s="2">
        <v>10</v>
      </c>
      <c r="D502" s="2">
        <v>1</v>
      </c>
      <c r="E502" s="2">
        <v>1</v>
      </c>
      <c r="F502" s="2">
        <v>1.22709841665346</v>
      </c>
      <c r="G502" s="2" t="s">
        <v>871</v>
      </c>
      <c r="H502" s="2" t="s">
        <v>427</v>
      </c>
      <c r="I502" s="2" t="s">
        <v>16</v>
      </c>
      <c r="J502" s="2" t="s">
        <v>1191</v>
      </c>
      <c r="K502" s="2">
        <v>171.04751554166401</v>
      </c>
      <c r="L502" s="2">
        <v>172.27463791659099</v>
      </c>
      <c r="M502" s="2">
        <v>60.253229262041003</v>
      </c>
    </row>
    <row r="503" spans="1:13" x14ac:dyDescent="0.2">
      <c r="A503" s="2" t="s">
        <v>994</v>
      </c>
      <c r="B503" s="2">
        <v>102</v>
      </c>
      <c r="C503" s="2">
        <v>5</v>
      </c>
      <c r="D503" s="2">
        <v>1</v>
      </c>
      <c r="E503" s="2">
        <v>1</v>
      </c>
      <c r="F503" s="2">
        <v>1.03059662505984</v>
      </c>
      <c r="G503" s="2" t="s">
        <v>478</v>
      </c>
      <c r="H503" s="2" t="s">
        <v>1192</v>
      </c>
      <c r="I503" s="2" t="s">
        <v>16</v>
      </c>
      <c r="J503" s="2" t="s">
        <v>1193</v>
      </c>
      <c r="K503" s="2">
        <v>172.27792320831199</v>
      </c>
      <c r="L503" s="2">
        <v>173.30854954163101</v>
      </c>
      <c r="M503" s="2">
        <v>60.253229262041003</v>
      </c>
    </row>
    <row r="504" spans="1:13" x14ac:dyDescent="0.2">
      <c r="A504" s="2" t="s">
        <v>994</v>
      </c>
      <c r="B504" s="2">
        <v>103</v>
      </c>
      <c r="C504" s="2">
        <v>5</v>
      </c>
      <c r="D504" s="2">
        <v>1</v>
      </c>
      <c r="E504" s="2">
        <v>1</v>
      </c>
      <c r="F504" s="2">
        <v>1.0457211249740801</v>
      </c>
      <c r="G504" s="2" t="s">
        <v>1194</v>
      </c>
      <c r="H504" s="2" t="s">
        <v>172</v>
      </c>
      <c r="I504" s="2" t="s">
        <v>16</v>
      </c>
      <c r="J504" s="2" t="s">
        <v>1195</v>
      </c>
      <c r="K504" s="2">
        <v>173.31214008328999</v>
      </c>
      <c r="L504" s="2">
        <v>174.35788412496899</v>
      </c>
      <c r="M504" s="2">
        <v>60.253229262041003</v>
      </c>
    </row>
    <row r="505" spans="1:13" x14ac:dyDescent="0.2">
      <c r="A505" s="2" t="s">
        <v>994</v>
      </c>
      <c r="B505" s="2">
        <v>104</v>
      </c>
      <c r="C505" s="2">
        <v>5</v>
      </c>
      <c r="D505" s="2">
        <v>1</v>
      </c>
      <c r="E505" s="2">
        <v>1</v>
      </c>
      <c r="F505" s="2">
        <v>1.0638352499809101</v>
      </c>
      <c r="G505" s="2" t="s">
        <v>1196</v>
      </c>
      <c r="H505" s="2" t="s">
        <v>404</v>
      </c>
      <c r="I505" s="2" t="s">
        <v>16</v>
      </c>
      <c r="J505" s="2" t="s">
        <v>1197</v>
      </c>
      <c r="K505" s="2">
        <v>174.361283041653</v>
      </c>
      <c r="L505" s="2">
        <v>175.425145583344</v>
      </c>
      <c r="M505" s="2">
        <v>60.253229262041003</v>
      </c>
    </row>
    <row r="506" spans="1:13" x14ac:dyDescent="0.2">
      <c r="A506" s="2" t="s">
        <v>994</v>
      </c>
      <c r="B506" s="2">
        <v>105</v>
      </c>
      <c r="C506" s="2">
        <v>5</v>
      </c>
      <c r="D506" s="2">
        <v>1</v>
      </c>
      <c r="E506" s="2">
        <v>1</v>
      </c>
      <c r="F506" s="2">
        <v>1.49538079171907</v>
      </c>
      <c r="G506" s="2" t="s">
        <v>149</v>
      </c>
      <c r="H506" s="2" t="s">
        <v>426</v>
      </c>
      <c r="I506" s="2" t="s">
        <v>16</v>
      </c>
      <c r="J506" s="2" t="s">
        <v>1198</v>
      </c>
      <c r="K506" s="2">
        <v>175.42901433329101</v>
      </c>
      <c r="L506" s="2">
        <v>176.92441812495201</v>
      </c>
      <c r="M506" s="2">
        <v>60.253229262041003</v>
      </c>
    </row>
    <row r="507" spans="1:13" x14ac:dyDescent="0.2">
      <c r="A507" s="2" t="s">
        <v>994</v>
      </c>
      <c r="B507" s="2">
        <v>106</v>
      </c>
      <c r="C507" s="2">
        <v>5</v>
      </c>
      <c r="D507" s="2">
        <v>1</v>
      </c>
      <c r="E507" s="2">
        <v>1</v>
      </c>
      <c r="F507" s="2">
        <v>1.8472278332337699</v>
      </c>
      <c r="G507" s="2" t="s">
        <v>1199</v>
      </c>
      <c r="H507" s="2" t="s">
        <v>1194</v>
      </c>
      <c r="I507" s="2" t="s">
        <v>16</v>
      </c>
      <c r="J507" s="2" t="s">
        <v>1200</v>
      </c>
      <c r="K507" s="2">
        <v>176.927846250008</v>
      </c>
      <c r="L507" s="2">
        <v>178.77511229168201</v>
      </c>
      <c r="M507" s="2">
        <v>60.253229262041003</v>
      </c>
    </row>
    <row r="508" spans="1:13" x14ac:dyDescent="0.2">
      <c r="A508" s="2" t="s">
        <v>994</v>
      </c>
      <c r="B508" s="2">
        <v>107</v>
      </c>
      <c r="C508" s="2">
        <v>5</v>
      </c>
      <c r="D508" s="2">
        <v>1</v>
      </c>
      <c r="E508" s="2">
        <v>1</v>
      </c>
      <c r="F508" s="2">
        <v>1.3120452084112899</v>
      </c>
      <c r="G508" s="2" t="s">
        <v>894</v>
      </c>
      <c r="H508" s="2" t="s">
        <v>1201</v>
      </c>
      <c r="I508" s="2" t="s">
        <v>16</v>
      </c>
      <c r="J508" s="2" t="s">
        <v>1202</v>
      </c>
      <c r="K508" s="2">
        <v>178.77969958330499</v>
      </c>
      <c r="L508" s="2">
        <v>180.09178591659301</v>
      </c>
      <c r="M508" s="2">
        <v>60.253229262041003</v>
      </c>
    </row>
    <row r="509" spans="1:13" x14ac:dyDescent="0.2">
      <c r="A509" s="2" t="s">
        <v>994</v>
      </c>
      <c r="B509" s="2">
        <v>108</v>
      </c>
      <c r="C509" s="2">
        <v>10</v>
      </c>
      <c r="D509" s="2">
        <v>2</v>
      </c>
      <c r="E509" s="2">
        <v>0</v>
      </c>
      <c r="F509" s="2">
        <v>2.1747983333189</v>
      </c>
      <c r="G509" s="2" t="s">
        <v>1203</v>
      </c>
      <c r="H509" s="2" t="s">
        <v>1204</v>
      </c>
      <c r="I509" s="2" t="s">
        <v>23</v>
      </c>
      <c r="J509" s="2" t="s">
        <v>1205</v>
      </c>
      <c r="K509" s="2">
        <v>180.100037208293</v>
      </c>
      <c r="L509" s="2">
        <v>182.27485945832501</v>
      </c>
      <c r="M509" s="2">
        <v>60.253229262041003</v>
      </c>
    </row>
    <row r="510" spans="1:13" x14ac:dyDescent="0.2">
      <c r="A510" s="2" t="s">
        <v>994</v>
      </c>
      <c r="B510" s="2">
        <v>109</v>
      </c>
      <c r="C510" s="2">
        <v>5</v>
      </c>
      <c r="D510" s="2">
        <v>1</v>
      </c>
      <c r="E510" s="2">
        <v>1</v>
      </c>
      <c r="F510" s="2">
        <v>1.49596866662614</v>
      </c>
      <c r="G510" s="2" t="s">
        <v>1206</v>
      </c>
      <c r="H510" s="2" t="s">
        <v>442</v>
      </c>
      <c r="I510" s="2" t="s">
        <v>16</v>
      </c>
      <c r="J510" s="2" t="s">
        <v>1207</v>
      </c>
      <c r="K510" s="2">
        <v>182.278569666669</v>
      </c>
      <c r="L510" s="2">
        <v>183.774560499936</v>
      </c>
      <c r="M510" s="2">
        <v>60.253229262041003</v>
      </c>
    </row>
    <row r="511" spans="1:13" x14ac:dyDescent="0.2">
      <c r="A511" s="2" t="s">
        <v>994</v>
      </c>
      <c r="B511" s="2">
        <v>110</v>
      </c>
      <c r="C511" s="2">
        <v>10</v>
      </c>
      <c r="D511" s="2">
        <v>1</v>
      </c>
      <c r="E511" s="2">
        <v>1</v>
      </c>
      <c r="F511" s="2">
        <v>1.5436526249395699</v>
      </c>
      <c r="G511" s="2" t="s">
        <v>1208</v>
      </c>
      <c r="H511" s="2" t="s">
        <v>1209</v>
      </c>
      <c r="I511" s="2" t="s">
        <v>16</v>
      </c>
      <c r="J511" s="2" t="s">
        <v>1210</v>
      </c>
      <c r="K511" s="2">
        <v>183.78081699996301</v>
      </c>
      <c r="L511" s="2">
        <v>185.32449795829601</v>
      </c>
      <c r="M511" s="2">
        <v>60.253229262041003</v>
      </c>
    </row>
    <row r="512" spans="1:13" x14ac:dyDescent="0.2">
      <c r="A512" s="2" t="s">
        <v>994</v>
      </c>
      <c r="B512" s="2">
        <v>111</v>
      </c>
      <c r="C512" s="2">
        <v>5</v>
      </c>
      <c r="D512" s="2">
        <v>1</v>
      </c>
      <c r="E512" s="2">
        <v>1</v>
      </c>
      <c r="F512" s="2">
        <v>1.6973134999861901</v>
      </c>
      <c r="G512" s="2" t="s">
        <v>1211</v>
      </c>
      <c r="H512" s="2" t="s">
        <v>1212</v>
      </c>
      <c r="I512" s="2" t="s">
        <v>16</v>
      </c>
      <c r="J512" s="2" t="s">
        <v>1213</v>
      </c>
      <c r="K512" s="2">
        <v>185.327873499948</v>
      </c>
      <c r="L512" s="2">
        <v>187.02522374992299</v>
      </c>
      <c r="M512" s="2">
        <v>60.253229262041003</v>
      </c>
    </row>
    <row r="513" spans="1:13" x14ac:dyDescent="0.2">
      <c r="A513" s="2" t="s">
        <v>994</v>
      </c>
      <c r="B513" s="2">
        <v>112</v>
      </c>
      <c r="C513" s="2">
        <v>5</v>
      </c>
      <c r="D513" s="2">
        <v>1</v>
      </c>
      <c r="E513" s="2">
        <v>1</v>
      </c>
      <c r="F513" s="2">
        <v>1.2278985416051</v>
      </c>
      <c r="G513" s="2" t="s">
        <v>1214</v>
      </c>
      <c r="H513" s="2" t="s">
        <v>82</v>
      </c>
      <c r="I513" s="2" t="s">
        <v>16</v>
      </c>
      <c r="J513" s="2" t="s">
        <v>1215</v>
      </c>
      <c r="K513" s="2">
        <v>187.029754166608</v>
      </c>
      <c r="L513" s="2">
        <v>188.25770662492101</v>
      </c>
      <c r="M513" s="2">
        <v>60.253229262041003</v>
      </c>
    </row>
    <row r="514" spans="1:13" x14ac:dyDescent="0.2">
      <c r="A514" s="2" t="s">
        <v>994</v>
      </c>
      <c r="B514" s="2">
        <v>113</v>
      </c>
      <c r="C514" s="2">
        <v>10</v>
      </c>
      <c r="D514" s="2">
        <v>1</v>
      </c>
      <c r="E514" s="2">
        <v>1</v>
      </c>
      <c r="F514" s="2">
        <v>1.2598817499820101</v>
      </c>
      <c r="G514" s="2" t="s">
        <v>37</v>
      </c>
      <c r="H514" s="2" t="s">
        <v>1216</v>
      </c>
      <c r="I514" s="2" t="s">
        <v>16</v>
      </c>
      <c r="J514" s="2" t="s">
        <v>1217</v>
      </c>
      <c r="K514" s="2">
        <v>188.26455620827599</v>
      </c>
      <c r="L514" s="2">
        <v>189.524467541603</v>
      </c>
      <c r="M514" s="2">
        <v>60.253229262041003</v>
      </c>
    </row>
    <row r="515" spans="1:13" x14ac:dyDescent="0.2">
      <c r="A515" s="2" t="s">
        <v>994</v>
      </c>
      <c r="B515" s="2">
        <v>114</v>
      </c>
      <c r="C515" s="2">
        <v>10</v>
      </c>
      <c r="D515" s="2">
        <v>2</v>
      </c>
      <c r="E515" s="2">
        <v>0</v>
      </c>
      <c r="F515" s="2">
        <v>1.82492537493818</v>
      </c>
      <c r="G515" s="2" t="s">
        <v>1218</v>
      </c>
      <c r="H515" s="2" t="s">
        <v>1219</v>
      </c>
      <c r="I515" s="2" t="s">
        <v>23</v>
      </c>
      <c r="J515" s="2" t="s">
        <v>1220</v>
      </c>
      <c r="K515" s="2">
        <v>189.532566916663</v>
      </c>
      <c r="L515" s="2">
        <v>191.35752212500699</v>
      </c>
      <c r="M515" s="2">
        <v>60.253229262041003</v>
      </c>
    </row>
    <row r="516" spans="1:13" x14ac:dyDescent="0.2">
      <c r="A516" s="2" t="s">
        <v>994</v>
      </c>
      <c r="B516" s="2">
        <v>115</v>
      </c>
      <c r="C516" s="2">
        <v>10</v>
      </c>
      <c r="D516" s="2">
        <v>1</v>
      </c>
      <c r="E516" s="2">
        <v>1</v>
      </c>
      <c r="F516" s="2">
        <v>1.1932822499657101</v>
      </c>
      <c r="G516" s="2" t="s">
        <v>602</v>
      </c>
      <c r="H516" s="2" t="s">
        <v>931</v>
      </c>
      <c r="I516" s="2" t="s">
        <v>16</v>
      </c>
      <c r="J516" s="2" t="s">
        <v>1221</v>
      </c>
      <c r="K516" s="2">
        <v>191.364365083282</v>
      </c>
      <c r="L516" s="2">
        <v>192.55768170836399</v>
      </c>
      <c r="M516" s="2">
        <v>60.253229262041003</v>
      </c>
    </row>
    <row r="517" spans="1:13" x14ac:dyDescent="0.2">
      <c r="A517" s="2" t="s">
        <v>994</v>
      </c>
      <c r="B517" s="2">
        <v>116</v>
      </c>
      <c r="C517" s="2">
        <v>10</v>
      </c>
      <c r="D517" s="2">
        <v>1</v>
      </c>
      <c r="E517" s="2">
        <v>1</v>
      </c>
      <c r="F517" s="2">
        <v>2.3277222499018499</v>
      </c>
      <c r="G517" s="2" t="s">
        <v>1222</v>
      </c>
      <c r="H517" s="2" t="s">
        <v>303</v>
      </c>
      <c r="I517" s="2" t="s">
        <v>16</v>
      </c>
      <c r="J517" s="2" t="s">
        <v>1223</v>
      </c>
      <c r="K517" s="2">
        <v>192.56342658330701</v>
      </c>
      <c r="L517" s="2">
        <v>194.89117308333499</v>
      </c>
      <c r="M517" s="2">
        <v>60.253229262041003</v>
      </c>
    </row>
    <row r="518" spans="1:13" x14ac:dyDescent="0.2">
      <c r="A518" s="2" t="s">
        <v>994</v>
      </c>
      <c r="B518" s="2">
        <v>117</v>
      </c>
      <c r="C518" s="2">
        <v>10</v>
      </c>
      <c r="D518" s="2">
        <v>1</v>
      </c>
      <c r="E518" s="2">
        <v>1</v>
      </c>
      <c r="F518" s="2">
        <v>1.97759899997618</v>
      </c>
      <c r="G518" s="2" t="s">
        <v>954</v>
      </c>
      <c r="H518" s="2" t="s">
        <v>1224</v>
      </c>
      <c r="I518" s="2" t="s">
        <v>16</v>
      </c>
      <c r="J518" s="2" t="s">
        <v>1225</v>
      </c>
      <c r="K518" s="2">
        <v>194.89741520828099</v>
      </c>
      <c r="L518" s="2">
        <v>196.87504612503099</v>
      </c>
      <c r="M518" s="2">
        <v>60.253229262041003</v>
      </c>
    </row>
    <row r="519" spans="1:13" x14ac:dyDescent="0.2">
      <c r="A519" s="2" t="s">
        <v>994</v>
      </c>
      <c r="B519" s="2">
        <v>118</v>
      </c>
      <c r="C519" s="2">
        <v>10</v>
      </c>
      <c r="D519" s="2">
        <v>1</v>
      </c>
      <c r="E519" s="2">
        <v>1</v>
      </c>
      <c r="F519" s="2">
        <v>1.7599444165825799</v>
      </c>
      <c r="G519" s="2" t="s">
        <v>14</v>
      </c>
      <c r="H519" s="2" t="s">
        <v>970</v>
      </c>
      <c r="I519" s="2" t="s">
        <v>16</v>
      </c>
      <c r="J519" s="2" t="s">
        <v>1226</v>
      </c>
      <c r="K519" s="2">
        <v>196.88138149993</v>
      </c>
      <c r="L519" s="2">
        <v>198.64134899992499</v>
      </c>
      <c r="M519" s="2">
        <v>60.253229262041003</v>
      </c>
    </row>
    <row r="520" spans="1:13" x14ac:dyDescent="0.2">
      <c r="A520" s="2" t="s">
        <v>994</v>
      </c>
      <c r="B520" s="2">
        <v>119</v>
      </c>
      <c r="C520" s="2">
        <v>10</v>
      </c>
      <c r="D520" s="2">
        <v>1</v>
      </c>
      <c r="E520" s="2">
        <v>1</v>
      </c>
      <c r="F520" s="2">
        <v>2.1769397499738301</v>
      </c>
      <c r="G520" s="2" t="s">
        <v>1227</v>
      </c>
      <c r="H520" s="2" t="s">
        <v>777</v>
      </c>
      <c r="I520" s="2" t="s">
        <v>16</v>
      </c>
      <c r="J520" s="2" t="s">
        <v>1228</v>
      </c>
      <c r="K520" s="2">
        <v>198.64751212496799</v>
      </c>
      <c r="L520" s="2">
        <v>200.82447758328601</v>
      </c>
      <c r="M520" s="2">
        <v>60.253229262041003</v>
      </c>
    </row>
    <row r="521" spans="1:13" x14ac:dyDescent="0.2">
      <c r="A521" s="2" t="s">
        <v>994</v>
      </c>
      <c r="B521" s="2">
        <v>120</v>
      </c>
      <c r="C521" s="2">
        <v>10</v>
      </c>
      <c r="D521" s="2">
        <v>1</v>
      </c>
      <c r="E521" s="2">
        <v>1</v>
      </c>
      <c r="F521" s="2">
        <v>1.54272729170043</v>
      </c>
      <c r="G521" s="2" t="s">
        <v>91</v>
      </c>
      <c r="H521" s="2" t="s">
        <v>563</v>
      </c>
      <c r="I521" s="2" t="s">
        <v>16</v>
      </c>
      <c r="J521" s="2" t="s">
        <v>1229</v>
      </c>
      <c r="K521" s="2">
        <v>200.83157983329201</v>
      </c>
      <c r="L521" s="2">
        <v>202.37432924995699</v>
      </c>
      <c r="M521" s="2">
        <v>60.253229262041003</v>
      </c>
    </row>
    <row r="522" spans="1:13" x14ac:dyDescent="0.2">
      <c r="A522" s="2" t="s">
        <v>994</v>
      </c>
      <c r="B522" s="2">
        <v>121</v>
      </c>
      <c r="C522" s="2">
        <v>10</v>
      </c>
      <c r="D522" s="2">
        <v>1</v>
      </c>
      <c r="E522" s="2">
        <v>1</v>
      </c>
      <c r="F522" s="2">
        <v>1.7272439583903201</v>
      </c>
      <c r="G522" s="2" t="s">
        <v>890</v>
      </c>
      <c r="H522" s="2" t="s">
        <v>166</v>
      </c>
      <c r="I522" s="2" t="s">
        <v>16</v>
      </c>
      <c r="J522" s="2" t="s">
        <v>1230</v>
      </c>
      <c r="K522" s="2">
        <v>202.38103941665</v>
      </c>
      <c r="L522" s="2">
        <v>204.10830495832499</v>
      </c>
      <c r="M522" s="2">
        <v>60.253229262041003</v>
      </c>
    </row>
    <row r="523" spans="1:13" x14ac:dyDescent="0.2">
      <c r="A523" s="2" t="s">
        <v>994</v>
      </c>
      <c r="B523" s="2">
        <v>122</v>
      </c>
      <c r="C523" s="2">
        <v>5</v>
      </c>
      <c r="D523" s="2">
        <v>1</v>
      </c>
      <c r="E523" s="2">
        <v>1</v>
      </c>
      <c r="F523" s="2">
        <v>1.6293472499819499</v>
      </c>
      <c r="G523" s="2" t="s">
        <v>111</v>
      </c>
      <c r="H523" s="2" t="s">
        <v>1122</v>
      </c>
      <c r="I523" s="2" t="s">
        <v>16</v>
      </c>
      <c r="J523" s="2" t="s">
        <v>1231</v>
      </c>
      <c r="K523" s="2">
        <v>204.11170816666001</v>
      </c>
      <c r="L523" s="2">
        <v>205.74107816663999</v>
      </c>
      <c r="M523" s="2">
        <v>60.253229262041003</v>
      </c>
    </row>
    <row r="524" spans="1:13" x14ac:dyDescent="0.2">
      <c r="A524" s="2" t="s">
        <v>994</v>
      </c>
      <c r="B524" s="2">
        <v>123</v>
      </c>
      <c r="C524" s="2">
        <v>10</v>
      </c>
      <c r="D524" s="2">
        <v>1</v>
      </c>
      <c r="E524" s="2">
        <v>1</v>
      </c>
      <c r="F524" s="2">
        <v>1.3936318333726401</v>
      </c>
      <c r="G524" s="2" t="s">
        <v>481</v>
      </c>
      <c r="H524" s="2" t="s">
        <v>415</v>
      </c>
      <c r="I524" s="2" t="s">
        <v>16</v>
      </c>
      <c r="J524" s="2" t="s">
        <v>1232</v>
      </c>
      <c r="K524" s="2">
        <v>205.74739604163901</v>
      </c>
      <c r="L524" s="2">
        <v>207.14105729164999</v>
      </c>
      <c r="M524" s="2">
        <v>60.253229262041003</v>
      </c>
    </row>
    <row r="525" spans="1:13" x14ac:dyDescent="0.2">
      <c r="A525" s="2" t="s">
        <v>994</v>
      </c>
      <c r="B525" s="2">
        <v>124</v>
      </c>
      <c r="C525" s="2">
        <v>5</v>
      </c>
      <c r="D525" s="2">
        <v>1</v>
      </c>
      <c r="E525" s="2">
        <v>1</v>
      </c>
      <c r="F525" s="2">
        <v>1.39667158329394</v>
      </c>
      <c r="G525" s="2" t="s">
        <v>1233</v>
      </c>
      <c r="H525" s="2" t="s">
        <v>1234</v>
      </c>
      <c r="I525" s="2" t="s">
        <v>16</v>
      </c>
      <c r="J525" s="2" t="s">
        <v>1235</v>
      </c>
      <c r="K525" s="2">
        <v>207.14436483336601</v>
      </c>
      <c r="L525" s="2">
        <v>208.54105854162501</v>
      </c>
      <c r="M525" s="2">
        <v>60.253229262041003</v>
      </c>
    </row>
    <row r="526" spans="1:13" x14ac:dyDescent="0.2">
      <c r="A526" s="2" t="s">
        <v>994</v>
      </c>
      <c r="B526" s="2">
        <v>125</v>
      </c>
      <c r="C526" s="2">
        <v>5</v>
      </c>
      <c r="D526" s="2">
        <v>1</v>
      </c>
      <c r="E526" s="2">
        <v>1</v>
      </c>
      <c r="F526" s="2">
        <v>1.43017308344133</v>
      </c>
      <c r="G526" s="2" t="s">
        <v>617</v>
      </c>
      <c r="H526" s="2" t="s">
        <v>64</v>
      </c>
      <c r="I526" s="2" t="s">
        <v>16</v>
      </c>
      <c r="J526" s="2" t="s">
        <v>1236</v>
      </c>
      <c r="K526" s="2">
        <v>208.54431095835801</v>
      </c>
      <c r="L526" s="2">
        <v>209.97451729164499</v>
      </c>
      <c r="M526" s="2">
        <v>60.253229262041003</v>
      </c>
    </row>
    <row r="527" spans="1:13" x14ac:dyDescent="0.2">
      <c r="A527" s="2" t="s">
        <v>994</v>
      </c>
      <c r="B527" s="2">
        <v>126</v>
      </c>
      <c r="C527" s="2">
        <v>5</v>
      </c>
      <c r="D527" s="2">
        <v>1</v>
      </c>
      <c r="E527" s="2">
        <v>1</v>
      </c>
      <c r="F527" s="2">
        <v>1.4621929583372599</v>
      </c>
      <c r="G527" s="2" t="s">
        <v>1237</v>
      </c>
      <c r="H527" s="2" t="s">
        <v>1238</v>
      </c>
      <c r="I527" s="2" t="s">
        <v>16</v>
      </c>
      <c r="J527" s="2" t="s">
        <v>1239</v>
      </c>
      <c r="K527" s="2">
        <v>209.97891629161299</v>
      </c>
      <c r="L527" s="2">
        <v>211.44113354163699</v>
      </c>
      <c r="M527" s="2">
        <v>60.253229262041003</v>
      </c>
    </row>
    <row r="528" spans="1:13" x14ac:dyDescent="0.2">
      <c r="A528" s="2" t="s">
        <v>994</v>
      </c>
      <c r="B528" s="2">
        <v>127</v>
      </c>
      <c r="C528" s="2">
        <v>5</v>
      </c>
      <c r="D528" s="2">
        <v>1</v>
      </c>
      <c r="E528" s="2">
        <v>1</v>
      </c>
      <c r="F528" s="2">
        <v>1.845973999938</v>
      </c>
      <c r="G528" s="2" t="s">
        <v>310</v>
      </c>
      <c r="H528" s="2" t="s">
        <v>1240</v>
      </c>
      <c r="I528" s="2" t="s">
        <v>16</v>
      </c>
      <c r="J528" s="2" t="s">
        <v>1241</v>
      </c>
      <c r="K528" s="2">
        <v>211.44497816660399</v>
      </c>
      <c r="L528" s="2">
        <v>213.290975083364</v>
      </c>
      <c r="M528" s="2">
        <v>60.253229262041003</v>
      </c>
    </row>
    <row r="529" spans="1:13" x14ac:dyDescent="0.2">
      <c r="A529" s="2" t="s">
        <v>994</v>
      </c>
      <c r="B529" s="2">
        <v>128</v>
      </c>
      <c r="C529" s="2">
        <v>10</v>
      </c>
      <c r="D529" s="2">
        <v>1</v>
      </c>
      <c r="E529" s="2">
        <v>1</v>
      </c>
      <c r="F529" s="2">
        <v>1.2437227083137301</v>
      </c>
      <c r="G529" s="2" t="s">
        <v>460</v>
      </c>
      <c r="H529" s="2" t="s">
        <v>816</v>
      </c>
      <c r="I529" s="2" t="s">
        <v>16</v>
      </c>
      <c r="J529" s="2" t="s">
        <v>1242</v>
      </c>
      <c r="K529" s="2">
        <v>213.29722170834401</v>
      </c>
      <c r="L529" s="2">
        <v>214.540967208333</v>
      </c>
      <c r="M529" s="2">
        <v>60.253229262041003</v>
      </c>
    </row>
    <row r="530" spans="1:13" x14ac:dyDescent="0.2">
      <c r="A530" s="2" t="s">
        <v>994</v>
      </c>
      <c r="B530" s="2">
        <v>129</v>
      </c>
      <c r="C530" s="2">
        <v>5</v>
      </c>
      <c r="D530" s="2">
        <v>1</v>
      </c>
      <c r="E530" s="2">
        <v>1</v>
      </c>
      <c r="F530" s="2">
        <v>1.9966931665549099</v>
      </c>
      <c r="G530" s="2" t="s">
        <v>1186</v>
      </c>
      <c r="H530" s="2" t="s">
        <v>1243</v>
      </c>
      <c r="I530" s="2" t="s">
        <v>16</v>
      </c>
      <c r="J530" s="2" t="s">
        <v>1244</v>
      </c>
      <c r="K530" s="2">
        <v>214.54436062497601</v>
      </c>
      <c r="L530" s="2">
        <v>216.541076958296</v>
      </c>
      <c r="M530" s="2">
        <v>60.253229262041003</v>
      </c>
    </row>
    <row r="531" spans="1:13" x14ac:dyDescent="0.2">
      <c r="A531" s="2" t="s">
        <v>994</v>
      </c>
      <c r="B531" s="2">
        <v>130</v>
      </c>
      <c r="C531" s="2">
        <v>10</v>
      </c>
      <c r="D531" s="2">
        <v>1</v>
      </c>
      <c r="E531" s="2">
        <v>1</v>
      </c>
      <c r="F531" s="2">
        <v>2.2769784999545699</v>
      </c>
      <c r="G531" s="2" t="s">
        <v>1245</v>
      </c>
      <c r="H531" s="2" t="s">
        <v>1246</v>
      </c>
      <c r="I531" s="2" t="s">
        <v>16</v>
      </c>
      <c r="J531" s="2" t="s">
        <v>1247</v>
      </c>
      <c r="K531" s="2">
        <v>216.54781141667601</v>
      </c>
      <c r="L531" s="2">
        <v>218.824825333315</v>
      </c>
      <c r="M531" s="2">
        <v>60.253229262041003</v>
      </c>
    </row>
    <row r="532" spans="1:13" x14ac:dyDescent="0.2">
      <c r="A532" s="2" t="s">
        <v>994</v>
      </c>
      <c r="B532" s="2">
        <v>131</v>
      </c>
      <c r="C532" s="2">
        <v>10</v>
      </c>
      <c r="D532" s="2">
        <v>1</v>
      </c>
      <c r="E532" s="2">
        <v>1</v>
      </c>
      <c r="F532" s="2">
        <v>1.99294145836029</v>
      </c>
      <c r="G532" s="2" t="s">
        <v>169</v>
      </c>
      <c r="H532" s="2" t="s">
        <v>499</v>
      </c>
      <c r="I532" s="2" t="s">
        <v>16</v>
      </c>
      <c r="J532" s="2" t="s">
        <v>1248</v>
      </c>
      <c r="K532" s="2">
        <v>218.83148162497699</v>
      </c>
      <c r="L532" s="2">
        <v>220.824454958318</v>
      </c>
      <c r="M532" s="2">
        <v>60.253229262041003</v>
      </c>
    </row>
    <row r="533" spans="1:13" x14ac:dyDescent="0.2">
      <c r="A533" s="2" t="s">
        <v>994</v>
      </c>
      <c r="B533" s="2">
        <v>132</v>
      </c>
      <c r="C533" s="2">
        <v>5</v>
      </c>
      <c r="D533" s="2">
        <v>1</v>
      </c>
      <c r="E533" s="2">
        <v>1</v>
      </c>
      <c r="F533" s="2">
        <v>2.3121565416222398</v>
      </c>
      <c r="G533" s="2" t="s">
        <v>41</v>
      </c>
      <c r="H533" s="2" t="s">
        <v>592</v>
      </c>
      <c r="I533" s="2" t="s">
        <v>16</v>
      </c>
      <c r="J533" s="2" t="s">
        <v>1249</v>
      </c>
      <c r="K533" s="2">
        <v>220.828887333279</v>
      </c>
      <c r="L533" s="2">
        <v>223.141065916629</v>
      </c>
      <c r="M533" s="2">
        <v>60.253229262041003</v>
      </c>
    </row>
    <row r="534" spans="1:13" x14ac:dyDescent="0.2">
      <c r="A534" s="2" t="s">
        <v>994</v>
      </c>
      <c r="B534" s="2">
        <v>133</v>
      </c>
      <c r="C534" s="2">
        <v>5</v>
      </c>
      <c r="D534" s="2">
        <v>1</v>
      </c>
      <c r="E534" s="2">
        <v>1</v>
      </c>
      <c r="F534" s="2">
        <v>1.29615866672248</v>
      </c>
      <c r="G534" s="2" t="s">
        <v>566</v>
      </c>
      <c r="H534" s="2" t="s">
        <v>921</v>
      </c>
      <c r="I534" s="2" t="s">
        <v>16</v>
      </c>
      <c r="J534" s="2" t="s">
        <v>1250</v>
      </c>
      <c r="K534" s="2">
        <v>223.144532499951</v>
      </c>
      <c r="L534" s="2">
        <v>224.44071374996599</v>
      </c>
      <c r="M534" s="2">
        <v>60.253229262041003</v>
      </c>
    </row>
    <row r="535" spans="1:13" x14ac:dyDescent="0.2">
      <c r="A535" s="2" t="s">
        <v>994</v>
      </c>
      <c r="B535" s="2">
        <v>134</v>
      </c>
      <c r="C535" s="2">
        <v>5</v>
      </c>
      <c r="D535" s="2">
        <v>1</v>
      </c>
      <c r="E535" s="2">
        <v>1</v>
      </c>
      <c r="F535" s="2">
        <v>2.49654050008394</v>
      </c>
      <c r="G535" s="2" t="s">
        <v>409</v>
      </c>
      <c r="H535" s="2" t="s">
        <v>1118</v>
      </c>
      <c r="I535" s="2" t="s">
        <v>16</v>
      </c>
      <c r="J535" s="2" t="s">
        <v>1251</v>
      </c>
      <c r="K535" s="2">
        <v>224.44443104160001</v>
      </c>
      <c r="L535" s="2">
        <v>226.94099575001701</v>
      </c>
      <c r="M535" s="2">
        <v>60.253229262041003</v>
      </c>
    </row>
    <row r="536" spans="1:13" x14ac:dyDescent="0.2">
      <c r="A536" s="2" t="s">
        <v>994</v>
      </c>
      <c r="B536" s="2">
        <v>135</v>
      </c>
      <c r="C536" s="2">
        <v>10</v>
      </c>
      <c r="D536" s="2">
        <v>1</v>
      </c>
      <c r="E536" s="2">
        <v>1</v>
      </c>
      <c r="F536" s="2">
        <v>1.3101114999735699</v>
      </c>
      <c r="G536" s="2" t="s">
        <v>1252</v>
      </c>
      <c r="H536" s="2" t="s">
        <v>1253</v>
      </c>
      <c r="I536" s="2" t="s">
        <v>16</v>
      </c>
      <c r="J536" s="2" t="s">
        <v>1254</v>
      </c>
      <c r="K536" s="2">
        <v>226.94732454163</v>
      </c>
      <c r="L536" s="2">
        <v>228.25747845834101</v>
      </c>
      <c r="M536" s="2">
        <v>60.253229262041003</v>
      </c>
    </row>
    <row r="537" spans="1:13" x14ac:dyDescent="0.2">
      <c r="A537" s="2" t="s">
        <v>994</v>
      </c>
      <c r="B537" s="2">
        <v>136</v>
      </c>
      <c r="C537" s="2">
        <v>5</v>
      </c>
      <c r="D537" s="2">
        <v>1</v>
      </c>
      <c r="E537" s="2">
        <v>1</v>
      </c>
      <c r="F537" s="2">
        <v>1.09726812504232</v>
      </c>
      <c r="G537" s="2" t="s">
        <v>55</v>
      </c>
      <c r="H537" s="2" t="s">
        <v>1255</v>
      </c>
      <c r="I537" s="2" t="s">
        <v>16</v>
      </c>
      <c r="J537" s="2" t="s">
        <v>1256</v>
      </c>
      <c r="K537" s="2">
        <v>228.26103833329401</v>
      </c>
      <c r="L537" s="2">
        <v>229.35832999995901</v>
      </c>
      <c r="M537" s="2">
        <v>60.253229262041003</v>
      </c>
    </row>
    <row r="538" spans="1:13" x14ac:dyDescent="0.2">
      <c r="A538" s="2" t="s">
        <v>994</v>
      </c>
      <c r="B538" s="2">
        <v>137</v>
      </c>
      <c r="C538" s="2">
        <v>5</v>
      </c>
      <c r="D538" s="2">
        <v>1</v>
      </c>
      <c r="E538" s="2">
        <v>1</v>
      </c>
      <c r="F538" s="2">
        <v>1.4126267917454201</v>
      </c>
      <c r="G538" s="2" t="s">
        <v>1005</v>
      </c>
      <c r="H538" s="2" t="s">
        <v>1142</v>
      </c>
      <c r="I538" s="2" t="s">
        <v>16</v>
      </c>
      <c r="J538" s="2" t="s">
        <v>1257</v>
      </c>
      <c r="K538" s="2">
        <v>229.36175479169501</v>
      </c>
      <c r="L538" s="2">
        <v>230.774408833357</v>
      </c>
      <c r="M538" s="2">
        <v>60.253229262041003</v>
      </c>
    </row>
    <row r="539" spans="1:13" x14ac:dyDescent="0.2">
      <c r="A539" s="2" t="s">
        <v>994</v>
      </c>
      <c r="B539" s="2">
        <v>138</v>
      </c>
      <c r="C539" s="2">
        <v>10</v>
      </c>
      <c r="D539" s="2">
        <v>1</v>
      </c>
      <c r="E539" s="2">
        <v>1</v>
      </c>
      <c r="F539" s="2">
        <v>2.3433631249936302</v>
      </c>
      <c r="G539" s="2" t="s">
        <v>1192</v>
      </c>
      <c r="H539" s="2" t="s">
        <v>679</v>
      </c>
      <c r="I539" s="2" t="s">
        <v>16</v>
      </c>
      <c r="J539" s="2" t="s">
        <v>1258</v>
      </c>
      <c r="K539" s="2">
        <v>230.78149933333</v>
      </c>
      <c r="L539" s="2">
        <v>233.124893708271</v>
      </c>
      <c r="M539" s="2">
        <v>60.253229262041003</v>
      </c>
    </row>
    <row r="540" spans="1:13" x14ac:dyDescent="0.2">
      <c r="A540" s="2" t="s">
        <v>994</v>
      </c>
      <c r="B540" s="2">
        <v>139</v>
      </c>
      <c r="C540" s="2">
        <v>5</v>
      </c>
      <c r="D540" s="2">
        <v>1</v>
      </c>
      <c r="E540" s="2">
        <v>1</v>
      </c>
      <c r="F540" s="2">
        <v>1.545280750026</v>
      </c>
      <c r="G540" s="2" t="s">
        <v>1171</v>
      </c>
      <c r="H540" s="2" t="s">
        <v>1246</v>
      </c>
      <c r="I540" s="2" t="s">
        <v>16</v>
      </c>
      <c r="J540" s="2" t="s">
        <v>1259</v>
      </c>
      <c r="K540" s="2">
        <v>233.12899474997499</v>
      </c>
      <c r="L540" s="2">
        <v>234.67432979168399</v>
      </c>
      <c r="M540" s="2">
        <v>60.253229262041003</v>
      </c>
    </row>
    <row r="541" spans="1:13" x14ac:dyDescent="0.2">
      <c r="A541" s="2" t="s">
        <v>994</v>
      </c>
      <c r="B541" s="2">
        <v>140</v>
      </c>
      <c r="C541" s="2">
        <v>5</v>
      </c>
      <c r="D541" s="2">
        <v>1</v>
      </c>
      <c r="E541" s="2">
        <v>1</v>
      </c>
      <c r="F541" s="2">
        <v>1.77941770839971</v>
      </c>
      <c r="G541" s="2" t="s">
        <v>1260</v>
      </c>
      <c r="H541" s="2" t="s">
        <v>1261</v>
      </c>
      <c r="I541" s="2" t="s">
        <v>16</v>
      </c>
      <c r="J541" s="2" t="s">
        <v>1262</v>
      </c>
      <c r="K541" s="2">
        <v>234.67825812497199</v>
      </c>
      <c r="L541" s="2">
        <v>236.45771149999899</v>
      </c>
      <c r="M541" s="2">
        <v>60.253229262041003</v>
      </c>
    </row>
    <row r="542" spans="1:13" x14ac:dyDescent="0.2">
      <c r="A542" s="2" t="s">
        <v>994</v>
      </c>
      <c r="B542" s="2">
        <v>141</v>
      </c>
      <c r="C542" s="2">
        <v>10</v>
      </c>
      <c r="D542" s="2">
        <v>1</v>
      </c>
      <c r="E542" s="2">
        <v>1</v>
      </c>
      <c r="F542" s="2">
        <v>1.4083675417350601</v>
      </c>
      <c r="G542" s="2" t="s">
        <v>1263</v>
      </c>
      <c r="H542" s="2" t="s">
        <v>1120</v>
      </c>
      <c r="I542" s="2" t="s">
        <v>16</v>
      </c>
      <c r="J542" s="2" t="s">
        <v>1264</v>
      </c>
      <c r="K542" s="2">
        <v>236.46594912500601</v>
      </c>
      <c r="L542" s="2">
        <v>237.87434004165701</v>
      </c>
      <c r="M542" s="2">
        <v>60.253229262041003</v>
      </c>
    </row>
    <row r="543" spans="1:13" x14ac:dyDescent="0.2">
      <c r="A543" s="2" t="s">
        <v>994</v>
      </c>
      <c r="B543" s="2">
        <v>142</v>
      </c>
      <c r="C543" s="2">
        <v>5</v>
      </c>
      <c r="D543" s="2">
        <v>1</v>
      </c>
      <c r="E543" s="2">
        <v>1</v>
      </c>
      <c r="F543" s="2">
        <v>1.11318012501579</v>
      </c>
      <c r="G543" s="2" t="s">
        <v>723</v>
      </c>
      <c r="H543" s="2" t="s">
        <v>1005</v>
      </c>
      <c r="I543" s="2" t="s">
        <v>16</v>
      </c>
      <c r="J543" s="2" t="s">
        <v>1265</v>
      </c>
      <c r="K543" s="2">
        <v>237.87777208327299</v>
      </c>
      <c r="L543" s="2">
        <v>238.99097549996799</v>
      </c>
      <c r="M543" s="2">
        <v>60.253229262041003</v>
      </c>
    </row>
    <row r="544" spans="1:13" x14ac:dyDescent="0.2">
      <c r="A544" s="2" t="s">
        <v>994</v>
      </c>
      <c r="B544" s="2">
        <v>143</v>
      </c>
      <c r="C544" s="2">
        <v>10</v>
      </c>
      <c r="D544" s="2">
        <v>1</v>
      </c>
      <c r="E544" s="2">
        <v>1</v>
      </c>
      <c r="F544" s="2">
        <v>1.5948530833702499</v>
      </c>
      <c r="G544" s="2" t="s">
        <v>1266</v>
      </c>
      <c r="H544" s="2" t="s">
        <v>535</v>
      </c>
      <c r="I544" s="2" t="s">
        <v>16</v>
      </c>
      <c r="J544" s="2" t="s">
        <v>1267</v>
      </c>
      <c r="K544" s="2">
        <v>238.997120041633</v>
      </c>
      <c r="L544" s="2">
        <v>240.59204787493201</v>
      </c>
      <c r="M544" s="2">
        <v>60.253229262041003</v>
      </c>
    </row>
    <row r="545" spans="1:13" x14ac:dyDescent="0.2">
      <c r="A545" s="2" t="s">
        <v>994</v>
      </c>
      <c r="B545" s="2">
        <v>144</v>
      </c>
      <c r="C545" s="2">
        <v>10</v>
      </c>
      <c r="D545" s="2">
        <v>1</v>
      </c>
      <c r="E545" s="2">
        <v>1</v>
      </c>
      <c r="F545" s="2">
        <v>1.55441074992996</v>
      </c>
      <c r="G545" s="2" t="s">
        <v>1268</v>
      </c>
      <c r="H545" s="2" t="s">
        <v>1269</v>
      </c>
      <c r="I545" s="2" t="s">
        <v>16</v>
      </c>
      <c r="J545" s="2" t="s">
        <v>1270</v>
      </c>
      <c r="K545" s="2">
        <v>240.60388929164</v>
      </c>
      <c r="L545" s="2">
        <v>242.15832633327199</v>
      </c>
      <c r="M545" s="2">
        <v>60.253229262041003</v>
      </c>
    </row>
    <row r="546" spans="1:13" x14ac:dyDescent="0.2">
      <c r="A546" s="2" t="s">
        <v>994</v>
      </c>
      <c r="B546" s="2">
        <v>145</v>
      </c>
      <c r="C546" s="2">
        <v>10</v>
      </c>
      <c r="D546" s="2">
        <v>1</v>
      </c>
      <c r="E546" s="2">
        <v>1</v>
      </c>
      <c r="F546" s="2">
        <v>2.4412438750732699</v>
      </c>
      <c r="G546" s="2" t="s">
        <v>900</v>
      </c>
      <c r="H546" s="2" t="s">
        <v>64</v>
      </c>
      <c r="I546" s="2" t="s">
        <v>16</v>
      </c>
      <c r="J546" s="2" t="s">
        <v>1271</v>
      </c>
      <c r="K546" s="2">
        <v>242.16648337501101</v>
      </c>
      <c r="L546" s="2">
        <v>244.60774945828601</v>
      </c>
      <c r="M546" s="2">
        <v>60.253229262041003</v>
      </c>
    </row>
    <row r="547" spans="1:13" x14ac:dyDescent="0.2">
      <c r="A547" s="2" t="s">
        <v>994</v>
      </c>
      <c r="B547" s="2">
        <v>146</v>
      </c>
      <c r="C547" s="2">
        <v>5</v>
      </c>
      <c r="D547" s="2">
        <v>1</v>
      </c>
      <c r="E547" s="2">
        <v>1</v>
      </c>
      <c r="F547" s="2">
        <v>1.36312666663434</v>
      </c>
      <c r="G547" s="2" t="s">
        <v>681</v>
      </c>
      <c r="H547" s="2" t="s">
        <v>1246</v>
      </c>
      <c r="I547" s="2" t="s">
        <v>16</v>
      </c>
      <c r="J547" s="2" t="s">
        <v>1272</v>
      </c>
      <c r="K547" s="2">
        <v>244.61115629167799</v>
      </c>
      <c r="L547" s="2">
        <v>245.974317458342</v>
      </c>
      <c r="M547" s="2">
        <v>60.253229262041003</v>
      </c>
    </row>
    <row r="548" spans="1:13" x14ac:dyDescent="0.2">
      <c r="A548" s="2" t="s">
        <v>994</v>
      </c>
      <c r="B548" s="2">
        <v>147</v>
      </c>
      <c r="C548" s="2">
        <v>5</v>
      </c>
      <c r="D548" s="2">
        <v>1</v>
      </c>
      <c r="E548" s="2">
        <v>1</v>
      </c>
      <c r="F548" s="2">
        <v>1.3302038749679901</v>
      </c>
      <c r="G548" s="2" t="s">
        <v>575</v>
      </c>
      <c r="H548" s="2" t="s">
        <v>602</v>
      </c>
      <c r="I548" s="2" t="s">
        <v>16</v>
      </c>
      <c r="J548" s="2" t="s">
        <v>1273</v>
      </c>
      <c r="K548" s="2">
        <v>245.97788679169</v>
      </c>
      <c r="L548" s="2">
        <v>247.308115166612</v>
      </c>
      <c r="M548" s="2">
        <v>60.253229262041003</v>
      </c>
    </row>
    <row r="549" spans="1:13" x14ac:dyDescent="0.2">
      <c r="A549" s="2" t="s">
        <v>994</v>
      </c>
      <c r="B549" s="2">
        <v>148</v>
      </c>
      <c r="C549" s="2">
        <v>10</v>
      </c>
      <c r="D549" s="2">
        <v>2</v>
      </c>
      <c r="E549" s="2">
        <v>0</v>
      </c>
      <c r="F549" s="2">
        <v>2.4761165000964001</v>
      </c>
      <c r="G549" s="2" t="s">
        <v>1274</v>
      </c>
      <c r="H549" s="2" t="s">
        <v>1275</v>
      </c>
      <c r="I549" s="2" t="s">
        <v>23</v>
      </c>
      <c r="J549" s="2" t="s">
        <v>1276</v>
      </c>
      <c r="K549" s="2">
        <v>247.31462237495001</v>
      </c>
      <c r="L549" s="2">
        <v>249.79077237495201</v>
      </c>
      <c r="M549" s="2">
        <v>60.253229262041003</v>
      </c>
    </row>
    <row r="550" spans="1:13" x14ac:dyDescent="0.2">
      <c r="A550" s="2" t="s">
        <v>994</v>
      </c>
      <c r="B550" s="2">
        <v>149</v>
      </c>
      <c r="C550" s="2">
        <v>10</v>
      </c>
      <c r="D550" s="2">
        <v>1</v>
      </c>
      <c r="E550" s="2">
        <v>1</v>
      </c>
      <c r="F550" s="2">
        <v>1.0105883333599199</v>
      </c>
      <c r="G550" s="2" t="s">
        <v>189</v>
      </c>
      <c r="H550" s="2" t="s">
        <v>361</v>
      </c>
      <c r="I550" s="2" t="s">
        <v>16</v>
      </c>
      <c r="J550" s="2" t="s">
        <v>1277</v>
      </c>
      <c r="K550" s="2">
        <v>249.79717924993</v>
      </c>
      <c r="L550" s="2">
        <v>250.807802791591</v>
      </c>
      <c r="M550" s="2">
        <v>60.253229262041003</v>
      </c>
    </row>
    <row r="551" spans="1:13" x14ac:dyDescent="0.2">
      <c r="A551" s="2" t="s">
        <v>994</v>
      </c>
      <c r="B551" s="2">
        <v>150</v>
      </c>
      <c r="C551" s="2">
        <v>10</v>
      </c>
      <c r="D551" s="2">
        <v>3</v>
      </c>
      <c r="E551" s="2">
        <v>0</v>
      </c>
      <c r="F551" s="2">
        <v>3.9584268749458702</v>
      </c>
      <c r="G551" s="2" t="s">
        <v>1278</v>
      </c>
      <c r="H551" s="2" t="s">
        <v>1279</v>
      </c>
      <c r="I551" s="2" t="s">
        <v>935</v>
      </c>
      <c r="J551" s="2" t="s">
        <v>1280</v>
      </c>
      <c r="K551" s="2">
        <v>250.81603924999899</v>
      </c>
      <c r="L551" s="2">
        <v>254.77448508329701</v>
      </c>
      <c r="M551" s="2">
        <v>60.253229262041003</v>
      </c>
    </row>
    <row r="552" spans="1:13" x14ac:dyDescent="0.2">
      <c r="A552" s="2" t="s">
        <v>994</v>
      </c>
      <c r="B552" s="2">
        <v>151</v>
      </c>
      <c r="C552" s="2">
        <v>10</v>
      </c>
      <c r="D552" s="2">
        <v>1</v>
      </c>
      <c r="E552" s="2">
        <v>1</v>
      </c>
      <c r="F552" s="2">
        <v>1.9941552083473699</v>
      </c>
      <c r="G552" s="2" t="s">
        <v>954</v>
      </c>
      <c r="H552" s="2" t="s">
        <v>654</v>
      </c>
      <c r="I552" s="2" t="s">
        <v>16</v>
      </c>
      <c r="J552" s="2" t="s">
        <v>1281</v>
      </c>
      <c r="K552" s="2">
        <v>254.78007937502099</v>
      </c>
      <c r="L552" s="2">
        <v>256.77426770830101</v>
      </c>
      <c r="M552" s="2">
        <v>60.253229262041003</v>
      </c>
    </row>
    <row r="553" spans="1:13" x14ac:dyDescent="0.2">
      <c r="A553" s="2" t="s">
        <v>994</v>
      </c>
      <c r="B553" s="2">
        <v>152</v>
      </c>
      <c r="C553" s="2">
        <v>5</v>
      </c>
      <c r="D553" s="2">
        <v>1</v>
      </c>
      <c r="E553" s="2">
        <v>1</v>
      </c>
      <c r="F553" s="2">
        <v>1.31312716659159</v>
      </c>
      <c r="G553" s="2" t="s">
        <v>187</v>
      </c>
      <c r="H553" s="2" t="s">
        <v>204</v>
      </c>
      <c r="I553" s="2" t="s">
        <v>16</v>
      </c>
      <c r="J553" s="2" t="s">
        <v>1282</v>
      </c>
      <c r="K553" s="2">
        <v>256.77774658333499</v>
      </c>
      <c r="L553" s="2">
        <v>258.09089737501898</v>
      </c>
      <c r="M553" s="2">
        <v>60.253229262041003</v>
      </c>
    </row>
    <row r="554" spans="1:13" x14ac:dyDescent="0.2">
      <c r="A554" s="2" t="s">
        <v>994</v>
      </c>
      <c r="B554" s="2">
        <v>153</v>
      </c>
      <c r="C554" s="2">
        <v>10</v>
      </c>
      <c r="D554" s="2">
        <v>1</v>
      </c>
      <c r="E554" s="2">
        <v>1</v>
      </c>
      <c r="F554" s="2">
        <v>4.1926102499710396</v>
      </c>
      <c r="G554" s="2" t="s">
        <v>1283</v>
      </c>
      <c r="H554" s="2" t="s">
        <v>158</v>
      </c>
      <c r="I554" s="2" t="s">
        <v>16</v>
      </c>
      <c r="J554" s="2" t="s">
        <v>1284</v>
      </c>
      <c r="K554" s="2">
        <v>258.09827937500103</v>
      </c>
      <c r="L554" s="2">
        <v>262.29091529163998</v>
      </c>
      <c r="M554" s="2">
        <v>60.253229262041003</v>
      </c>
    </row>
    <row r="555" spans="1:13" x14ac:dyDescent="0.2">
      <c r="A555" s="2" t="s">
        <v>994</v>
      </c>
      <c r="B555" s="2">
        <v>154</v>
      </c>
      <c r="C555" s="2">
        <v>5</v>
      </c>
      <c r="D555" s="2">
        <v>1</v>
      </c>
      <c r="E555" s="2">
        <v>1</v>
      </c>
      <c r="F555" s="2">
        <v>2.0963982084067498</v>
      </c>
      <c r="G555" s="2" t="s">
        <v>1285</v>
      </c>
      <c r="H555" s="2" t="s">
        <v>1286</v>
      </c>
      <c r="I555" s="2" t="s">
        <v>16</v>
      </c>
      <c r="J555" s="2" t="s">
        <v>1287</v>
      </c>
      <c r="K555" s="2">
        <v>262.29462345829199</v>
      </c>
      <c r="L555" s="2">
        <v>264.39104616665298</v>
      </c>
      <c r="M555" s="2">
        <v>60.253229262041003</v>
      </c>
    </row>
    <row r="556" spans="1:13" x14ac:dyDescent="0.2">
      <c r="A556" s="2" t="s">
        <v>994</v>
      </c>
      <c r="B556" s="2">
        <v>155</v>
      </c>
      <c r="C556" s="2">
        <v>5</v>
      </c>
      <c r="D556" s="2">
        <v>1</v>
      </c>
      <c r="E556" s="2">
        <v>1</v>
      </c>
      <c r="F556" s="2">
        <v>1.47972033324186</v>
      </c>
      <c r="G556" s="2" t="s">
        <v>1288</v>
      </c>
      <c r="H556" s="2" t="s">
        <v>286</v>
      </c>
      <c r="I556" s="2" t="s">
        <v>16</v>
      </c>
      <c r="J556" s="2" t="s">
        <v>1289</v>
      </c>
      <c r="K556" s="2">
        <v>264.39441041660001</v>
      </c>
      <c r="L556" s="2">
        <v>265.87415974994701</v>
      </c>
      <c r="M556" s="2">
        <v>60.253229262041003</v>
      </c>
    </row>
    <row r="557" spans="1:13" x14ac:dyDescent="0.2">
      <c r="A557" s="2" t="s">
        <v>994</v>
      </c>
      <c r="B557" s="2">
        <v>156</v>
      </c>
      <c r="C557" s="2">
        <v>5</v>
      </c>
      <c r="D557" s="2">
        <v>1</v>
      </c>
      <c r="E557" s="2">
        <v>1</v>
      </c>
      <c r="F557" s="2">
        <v>1.49626420834102</v>
      </c>
      <c r="G557" s="2" t="s">
        <v>894</v>
      </c>
      <c r="H557" s="2" t="s">
        <v>1290</v>
      </c>
      <c r="I557" s="2" t="s">
        <v>16</v>
      </c>
      <c r="J557" s="2" t="s">
        <v>1291</v>
      </c>
      <c r="K557" s="2">
        <v>265.87794312497101</v>
      </c>
      <c r="L557" s="2">
        <v>267.37423333327803</v>
      </c>
      <c r="M557" s="2">
        <v>60.253229262041003</v>
      </c>
    </row>
    <row r="558" spans="1:13" x14ac:dyDescent="0.2">
      <c r="A558" s="2" t="s">
        <v>994</v>
      </c>
      <c r="B558" s="2">
        <v>157</v>
      </c>
      <c r="C558" s="2">
        <v>5</v>
      </c>
      <c r="D558" s="2">
        <v>1</v>
      </c>
      <c r="E558" s="2">
        <v>1</v>
      </c>
      <c r="F558" s="2">
        <v>1.52947008330375</v>
      </c>
      <c r="G558" s="2" t="s">
        <v>1060</v>
      </c>
      <c r="H558" s="2" t="s">
        <v>939</v>
      </c>
      <c r="I558" s="2" t="s">
        <v>16</v>
      </c>
      <c r="J558" s="2" t="s">
        <v>1292</v>
      </c>
      <c r="K558" s="2">
        <v>267.377976750024</v>
      </c>
      <c r="L558" s="2">
        <v>268.90747179160797</v>
      </c>
      <c r="M558" s="2">
        <v>60.253229262041003</v>
      </c>
    </row>
    <row r="559" spans="1:13" x14ac:dyDescent="0.2">
      <c r="A559" s="2" t="s">
        <v>994</v>
      </c>
      <c r="B559" s="2">
        <v>158</v>
      </c>
      <c r="C559" s="2">
        <v>5</v>
      </c>
      <c r="D559" s="2">
        <v>1</v>
      </c>
      <c r="E559" s="2">
        <v>1</v>
      </c>
      <c r="F559" s="2">
        <v>1.51333970832638</v>
      </c>
      <c r="G559" s="2" t="s">
        <v>580</v>
      </c>
      <c r="H559" s="2" t="s">
        <v>358</v>
      </c>
      <c r="I559" s="2" t="s">
        <v>16</v>
      </c>
      <c r="J559" s="2" t="s">
        <v>1293</v>
      </c>
      <c r="K559" s="2">
        <v>268.91093533334799</v>
      </c>
      <c r="L559" s="2">
        <v>270.424311083276</v>
      </c>
      <c r="M559" s="2">
        <v>60.253229262041003</v>
      </c>
    </row>
    <row r="560" spans="1:13" x14ac:dyDescent="0.2">
      <c r="A560" s="2" t="s">
        <v>994</v>
      </c>
      <c r="B560" s="2">
        <v>159</v>
      </c>
      <c r="C560" s="2">
        <v>10</v>
      </c>
      <c r="D560" s="2">
        <v>1</v>
      </c>
      <c r="E560" s="2">
        <v>1</v>
      </c>
      <c r="F560" s="2">
        <v>1.5934180000331299</v>
      </c>
      <c r="G560" s="2" t="s">
        <v>349</v>
      </c>
      <c r="H560" s="2" t="s">
        <v>88</v>
      </c>
      <c r="I560" s="2" t="s">
        <v>16</v>
      </c>
      <c r="J560" s="2" t="s">
        <v>1294</v>
      </c>
      <c r="K560" s="2">
        <v>270.43079145834798</v>
      </c>
      <c r="L560" s="2">
        <v>272.02423470828199</v>
      </c>
      <c r="M560" s="2">
        <v>60.253229262041003</v>
      </c>
    </row>
    <row r="561" spans="1:13" x14ac:dyDescent="0.2">
      <c r="A561" s="2" t="s">
        <v>994</v>
      </c>
      <c r="B561" s="2">
        <v>160</v>
      </c>
      <c r="C561" s="2">
        <v>5</v>
      </c>
      <c r="D561" s="2">
        <v>1</v>
      </c>
      <c r="E561" s="2">
        <v>1</v>
      </c>
      <c r="F561" s="2">
        <v>1.34612554172054</v>
      </c>
      <c r="G561" s="2" t="s">
        <v>879</v>
      </c>
      <c r="H561" s="2" t="s">
        <v>58</v>
      </c>
      <c r="I561" s="2" t="s">
        <v>16</v>
      </c>
      <c r="J561" s="2" t="s">
        <v>1295</v>
      </c>
      <c r="K561" s="2">
        <v>272.02812033332901</v>
      </c>
      <c r="L561" s="2">
        <v>273.37427616666503</v>
      </c>
      <c r="M561" s="2">
        <v>60.253229262041003</v>
      </c>
    </row>
    <row r="562" spans="1:13" x14ac:dyDescent="0.2">
      <c r="A562" s="2" t="s">
        <v>994</v>
      </c>
      <c r="B562" s="2">
        <v>161</v>
      </c>
      <c r="C562" s="2">
        <v>10</v>
      </c>
      <c r="D562" s="2">
        <v>1</v>
      </c>
      <c r="E562" s="2">
        <v>1</v>
      </c>
      <c r="F562" s="2">
        <v>1.8595744583290099</v>
      </c>
      <c r="G562" s="2" t="s">
        <v>1296</v>
      </c>
      <c r="H562" s="2" t="s">
        <v>320</v>
      </c>
      <c r="I562" s="2" t="s">
        <v>16</v>
      </c>
      <c r="J562" s="2" t="s">
        <v>1297</v>
      </c>
      <c r="K562" s="2">
        <v>273.381343166693</v>
      </c>
      <c r="L562" s="2">
        <v>275.24094154161901</v>
      </c>
      <c r="M562" s="2">
        <v>60.253229262041003</v>
      </c>
    </row>
    <row r="563" spans="1:13" x14ac:dyDescent="0.2">
      <c r="A563" s="2" t="s">
        <v>994</v>
      </c>
      <c r="B563" s="2">
        <v>162</v>
      </c>
      <c r="C563" s="2">
        <v>5</v>
      </c>
      <c r="D563" s="2">
        <v>1</v>
      </c>
      <c r="E563" s="2">
        <v>1</v>
      </c>
      <c r="F563" s="2">
        <v>1.22979158326052</v>
      </c>
      <c r="G563" s="2" t="s">
        <v>1298</v>
      </c>
      <c r="H563" s="2" t="s">
        <v>1299</v>
      </c>
      <c r="I563" s="2" t="s">
        <v>16</v>
      </c>
      <c r="J563" s="2" t="s">
        <v>1300</v>
      </c>
      <c r="K563" s="2">
        <v>275.24440470826801</v>
      </c>
      <c r="L563" s="2">
        <v>276.47422949993103</v>
      </c>
      <c r="M563" s="2">
        <v>60.253229262041003</v>
      </c>
    </row>
    <row r="564" spans="1:13" x14ac:dyDescent="0.2">
      <c r="A564" s="2" t="s">
        <v>994</v>
      </c>
      <c r="B564" s="2">
        <v>163</v>
      </c>
      <c r="C564" s="2">
        <v>10</v>
      </c>
      <c r="D564" s="2">
        <v>1</v>
      </c>
      <c r="E564" s="2">
        <v>1</v>
      </c>
      <c r="F564" s="2">
        <v>1.2769377499353101</v>
      </c>
      <c r="G564" s="2" t="s">
        <v>87</v>
      </c>
      <c r="H564" s="2" t="s">
        <v>1301</v>
      </c>
      <c r="I564" s="2" t="s">
        <v>16</v>
      </c>
      <c r="J564" s="2" t="s">
        <v>1302</v>
      </c>
      <c r="K564" s="2">
        <v>276.480466624955</v>
      </c>
      <c r="L564" s="2">
        <v>277.75744979165</v>
      </c>
      <c r="M564" s="2">
        <v>60.253229262041003</v>
      </c>
    </row>
    <row r="565" spans="1:13" x14ac:dyDescent="0.2">
      <c r="A565" s="2" t="s">
        <v>994</v>
      </c>
      <c r="B565" s="2">
        <v>164</v>
      </c>
      <c r="C565" s="2">
        <v>10</v>
      </c>
      <c r="D565" s="2">
        <v>2</v>
      </c>
      <c r="E565" s="2">
        <v>0</v>
      </c>
      <c r="F565" s="2">
        <v>2.4599587499396902</v>
      </c>
      <c r="G565" s="2" t="s">
        <v>1303</v>
      </c>
      <c r="H565" s="2" t="s">
        <v>1304</v>
      </c>
      <c r="I565" s="2" t="s">
        <v>23</v>
      </c>
      <c r="J565" s="2" t="s">
        <v>1305</v>
      </c>
      <c r="K565" s="2">
        <v>277.76385287498101</v>
      </c>
      <c r="L565" s="2">
        <v>280.223833708325</v>
      </c>
      <c r="M565" s="2">
        <v>60.253229262041003</v>
      </c>
    </row>
    <row r="566" spans="1:13" x14ac:dyDescent="0.2">
      <c r="A566" s="2" t="s">
        <v>994</v>
      </c>
      <c r="B566" s="2">
        <v>165</v>
      </c>
      <c r="C566" s="2">
        <v>5</v>
      </c>
      <c r="D566" s="2">
        <v>2</v>
      </c>
      <c r="E566" s="2">
        <v>0</v>
      </c>
      <c r="F566" s="2">
        <v>1.96352125005797</v>
      </c>
      <c r="G566" s="2" t="s">
        <v>1306</v>
      </c>
      <c r="H566" s="2" t="s">
        <v>1307</v>
      </c>
      <c r="I566" s="2" t="s">
        <v>23</v>
      </c>
      <c r="J566" s="2" t="s">
        <v>1308</v>
      </c>
      <c r="K566" s="2">
        <v>280.227847208269</v>
      </c>
      <c r="L566" s="2">
        <v>282.19139924994698</v>
      </c>
      <c r="M566" s="2">
        <v>60.253229262041003</v>
      </c>
    </row>
    <row r="567" spans="1:13" x14ac:dyDescent="0.2">
      <c r="A567" s="2" t="s">
        <v>994</v>
      </c>
      <c r="B567" s="2">
        <v>166</v>
      </c>
      <c r="C567" s="2">
        <v>10</v>
      </c>
      <c r="D567" s="2">
        <v>1</v>
      </c>
      <c r="E567" s="2">
        <v>1</v>
      </c>
      <c r="F567" s="2">
        <v>2.5575221250764999</v>
      </c>
      <c r="G567" s="2" t="s">
        <v>479</v>
      </c>
      <c r="H567" s="2" t="s">
        <v>726</v>
      </c>
      <c r="I567" s="2" t="s">
        <v>16</v>
      </c>
      <c r="J567" s="2" t="s">
        <v>1309</v>
      </c>
      <c r="K567" s="2">
        <v>282.19973545835802</v>
      </c>
      <c r="L567" s="2">
        <v>284.75730149995098</v>
      </c>
      <c r="M567" s="2">
        <v>60.253229262041003</v>
      </c>
    </row>
    <row r="568" spans="1:13" x14ac:dyDescent="0.2">
      <c r="A568" s="2" t="s">
        <v>994</v>
      </c>
      <c r="B568" s="2">
        <v>167</v>
      </c>
      <c r="C568" s="2">
        <v>5</v>
      </c>
      <c r="D568" s="2">
        <v>1</v>
      </c>
      <c r="E568" s="2">
        <v>1</v>
      </c>
      <c r="F568" s="2">
        <v>1.3470029582967999</v>
      </c>
      <c r="G568" s="2" t="s">
        <v>563</v>
      </c>
      <c r="H568" s="2" t="s">
        <v>401</v>
      </c>
      <c r="I568" s="2" t="s">
        <v>16</v>
      </c>
      <c r="J568" s="2" t="s">
        <v>1310</v>
      </c>
      <c r="K568" s="2">
        <v>284.76094795833302</v>
      </c>
      <c r="L568" s="2">
        <v>286.10798383329501</v>
      </c>
      <c r="M568" s="2">
        <v>60.253229262041003</v>
      </c>
    </row>
    <row r="569" spans="1:13" x14ac:dyDescent="0.2">
      <c r="A569" s="2" t="s">
        <v>994</v>
      </c>
      <c r="B569" s="2">
        <v>168</v>
      </c>
      <c r="C569" s="2">
        <v>5</v>
      </c>
      <c r="D569" s="2">
        <v>1</v>
      </c>
      <c r="E569" s="2">
        <v>1</v>
      </c>
      <c r="F569" s="2">
        <v>1.7292465417413001</v>
      </c>
      <c r="G569" s="2" t="s">
        <v>38</v>
      </c>
      <c r="H569" s="2" t="s">
        <v>580</v>
      </c>
      <c r="I569" s="2" t="s">
        <v>16</v>
      </c>
      <c r="J569" s="2" t="s">
        <v>1311</v>
      </c>
      <c r="K569" s="2">
        <v>286.11148700001701</v>
      </c>
      <c r="L569" s="2">
        <v>287.84075616660999</v>
      </c>
      <c r="M569" s="2">
        <v>60.253229262041003</v>
      </c>
    </row>
    <row r="570" spans="1:13" x14ac:dyDescent="0.2">
      <c r="A570" s="2" t="s">
        <v>994</v>
      </c>
      <c r="B570" s="2">
        <v>169</v>
      </c>
      <c r="C570" s="2">
        <v>5</v>
      </c>
      <c r="D570" s="2">
        <v>1</v>
      </c>
      <c r="E570" s="2">
        <v>1</v>
      </c>
      <c r="F570" s="2">
        <v>1.76329329167493</v>
      </c>
      <c r="G570" s="2" t="s">
        <v>1312</v>
      </c>
      <c r="H570" s="2" t="s">
        <v>294</v>
      </c>
      <c r="I570" s="2" t="s">
        <v>16</v>
      </c>
      <c r="J570" s="2" t="s">
        <v>1313</v>
      </c>
      <c r="K570" s="2">
        <v>287.84418250003398</v>
      </c>
      <c r="L570" s="2">
        <v>289.60750441660599</v>
      </c>
      <c r="M570" s="2">
        <v>60.253229262041003</v>
      </c>
    </row>
    <row r="571" spans="1:13" x14ac:dyDescent="0.2">
      <c r="A571" s="2" t="s">
        <v>994</v>
      </c>
      <c r="B571" s="2">
        <v>170</v>
      </c>
      <c r="C571" s="2">
        <v>5</v>
      </c>
      <c r="D571" s="2">
        <v>1</v>
      </c>
      <c r="E571" s="2">
        <v>1</v>
      </c>
      <c r="F571" s="2">
        <v>1.27974341670051</v>
      </c>
      <c r="G571" s="2" t="s">
        <v>1314</v>
      </c>
      <c r="H571" s="2" t="s">
        <v>635</v>
      </c>
      <c r="I571" s="2" t="s">
        <v>16</v>
      </c>
      <c r="J571" s="2" t="s">
        <v>1315</v>
      </c>
      <c r="K571" s="2">
        <v>289.61083287501202</v>
      </c>
      <c r="L571" s="2">
        <v>290.89059729164001</v>
      </c>
      <c r="M571" s="2">
        <v>60.253229262041003</v>
      </c>
    </row>
    <row r="572" spans="1:13" x14ac:dyDescent="0.2">
      <c r="A572" s="2" t="s">
        <v>994</v>
      </c>
      <c r="B572" s="2">
        <v>171</v>
      </c>
      <c r="C572" s="2">
        <v>5</v>
      </c>
      <c r="D572" s="2">
        <v>1</v>
      </c>
      <c r="E572" s="2">
        <v>1</v>
      </c>
      <c r="F572" s="2">
        <v>1.8640259999083399</v>
      </c>
      <c r="G572" s="2" t="s">
        <v>429</v>
      </c>
      <c r="H572" s="2" t="s">
        <v>257</v>
      </c>
      <c r="I572" s="2" t="s">
        <v>16</v>
      </c>
      <c r="J572" s="2" t="s">
        <v>1316</v>
      </c>
      <c r="K572" s="2">
        <v>290.894044291694</v>
      </c>
      <c r="L572" s="2">
        <v>292.75810066668799</v>
      </c>
      <c r="M572" s="2">
        <v>60.253229262041003</v>
      </c>
    </row>
    <row r="573" spans="1:13" x14ac:dyDescent="0.2">
      <c r="A573" s="2" t="s">
        <v>994</v>
      </c>
      <c r="B573" s="2">
        <v>172</v>
      </c>
      <c r="C573" s="2">
        <v>5</v>
      </c>
      <c r="D573" s="2">
        <v>1</v>
      </c>
      <c r="E573" s="2">
        <v>1</v>
      </c>
      <c r="F573" s="2">
        <v>1.5448005833895899</v>
      </c>
      <c r="G573" s="2" t="s">
        <v>300</v>
      </c>
      <c r="H573" s="2" t="s">
        <v>1317</v>
      </c>
      <c r="I573" s="2" t="s">
        <v>16</v>
      </c>
      <c r="J573" s="2" t="s">
        <v>1318</v>
      </c>
      <c r="K573" s="2">
        <v>292.76259995833999</v>
      </c>
      <c r="L573" s="2">
        <v>294.30742274993099</v>
      </c>
      <c r="M573" s="2">
        <v>60.253229262041003</v>
      </c>
    </row>
    <row r="574" spans="1:13" x14ac:dyDescent="0.2">
      <c r="A574" s="2" t="s">
        <v>994</v>
      </c>
      <c r="B574" s="2">
        <v>173</v>
      </c>
      <c r="C574" s="2">
        <v>5</v>
      </c>
      <c r="D574" s="2">
        <v>1</v>
      </c>
      <c r="E574" s="2">
        <v>1</v>
      </c>
      <c r="F574" s="2">
        <v>2.0133249582722801</v>
      </c>
      <c r="G574" s="2" t="s">
        <v>726</v>
      </c>
      <c r="H574" s="2" t="s">
        <v>138</v>
      </c>
      <c r="I574" s="2" t="s">
        <v>16</v>
      </c>
      <c r="J574" s="2" t="s">
        <v>1319</v>
      </c>
      <c r="K574" s="2">
        <v>294.31082291668298</v>
      </c>
      <c r="L574" s="2">
        <v>296.32417079165998</v>
      </c>
      <c r="M574" s="2">
        <v>60.253229262041003</v>
      </c>
    </row>
    <row r="575" spans="1:13" x14ac:dyDescent="0.2">
      <c r="A575" s="2" t="s">
        <v>994</v>
      </c>
      <c r="B575" s="2">
        <v>174</v>
      </c>
      <c r="C575" s="2">
        <v>5</v>
      </c>
      <c r="D575" s="2">
        <v>1</v>
      </c>
      <c r="E575" s="2">
        <v>1</v>
      </c>
      <c r="F575" s="2">
        <v>2.4465639167465301</v>
      </c>
      <c r="G575" s="2" t="s">
        <v>806</v>
      </c>
      <c r="H575" s="2" t="s">
        <v>941</v>
      </c>
      <c r="I575" s="2" t="s">
        <v>16</v>
      </c>
      <c r="J575" s="2" t="s">
        <v>1320</v>
      </c>
      <c r="K575" s="2">
        <v>296.32763637497601</v>
      </c>
      <c r="L575" s="2">
        <v>298.77423324994697</v>
      </c>
      <c r="M575" s="2">
        <v>60.253229262041003</v>
      </c>
    </row>
    <row r="576" spans="1:13" x14ac:dyDescent="0.2">
      <c r="A576" s="2" t="s">
        <v>994</v>
      </c>
      <c r="B576" s="2">
        <v>175</v>
      </c>
      <c r="C576" s="2">
        <v>10</v>
      </c>
      <c r="D576" s="2">
        <v>1</v>
      </c>
      <c r="E576" s="2">
        <v>1</v>
      </c>
      <c r="F576" s="2">
        <v>1.5768453334458199</v>
      </c>
      <c r="G576" s="2" t="s">
        <v>1132</v>
      </c>
      <c r="H576" s="2" t="s">
        <v>807</v>
      </c>
      <c r="I576" s="2" t="s">
        <v>16</v>
      </c>
      <c r="J576" s="2" t="s">
        <v>1321</v>
      </c>
      <c r="K576" s="2">
        <v>298.78054395830299</v>
      </c>
      <c r="L576" s="2">
        <v>300.35741470835598</v>
      </c>
      <c r="M576" s="2">
        <v>60.253229262041003</v>
      </c>
    </row>
    <row r="577" spans="1:13" x14ac:dyDescent="0.2">
      <c r="A577" s="2" t="s">
        <v>994</v>
      </c>
      <c r="B577" s="2">
        <v>176</v>
      </c>
      <c r="C577" s="2">
        <v>10</v>
      </c>
      <c r="D577" s="2">
        <v>1</v>
      </c>
      <c r="E577" s="2">
        <v>1</v>
      </c>
      <c r="F577" s="2">
        <v>1.41068612504751</v>
      </c>
      <c r="G577" s="2" t="s">
        <v>1322</v>
      </c>
      <c r="H577" s="2" t="s">
        <v>1323</v>
      </c>
      <c r="I577" s="2" t="s">
        <v>16</v>
      </c>
      <c r="J577" s="2" t="s">
        <v>1324</v>
      </c>
      <c r="K577" s="2">
        <v>300.363671749947</v>
      </c>
      <c r="L577" s="2">
        <v>301.77439279167498</v>
      </c>
      <c r="M577" s="2">
        <v>60.253229262041003</v>
      </c>
    </row>
    <row r="578" spans="1:13" x14ac:dyDescent="0.2">
      <c r="A578" s="2" t="s">
        <v>994</v>
      </c>
      <c r="B578" s="2">
        <v>177</v>
      </c>
      <c r="C578" s="2">
        <v>10</v>
      </c>
      <c r="D578" s="2">
        <v>1</v>
      </c>
      <c r="E578" s="2">
        <v>1</v>
      </c>
      <c r="F578" s="2">
        <v>1.4584026250522599</v>
      </c>
      <c r="G578" s="2" t="s">
        <v>1296</v>
      </c>
      <c r="H578" s="2" t="s">
        <v>956</v>
      </c>
      <c r="I578" s="2" t="s">
        <v>16</v>
      </c>
      <c r="J578" s="2" t="s">
        <v>1325</v>
      </c>
      <c r="K578" s="2">
        <v>301.78243799996602</v>
      </c>
      <c r="L578" s="2">
        <v>303.24086575000598</v>
      </c>
      <c r="M578" s="2">
        <v>60.253229262041003</v>
      </c>
    </row>
    <row r="579" spans="1:13" x14ac:dyDescent="0.2">
      <c r="A579" s="2" t="s">
        <v>994</v>
      </c>
      <c r="B579" s="2">
        <v>178</v>
      </c>
      <c r="C579" s="2">
        <v>5</v>
      </c>
      <c r="D579" s="2">
        <v>1</v>
      </c>
      <c r="E579" s="2">
        <v>1</v>
      </c>
      <c r="F579" s="2">
        <v>1.6960031250491701</v>
      </c>
      <c r="G579" s="2" t="s">
        <v>866</v>
      </c>
      <c r="H579" s="2" t="s">
        <v>1212</v>
      </c>
      <c r="I579" s="2" t="s">
        <v>16</v>
      </c>
      <c r="J579" s="2" t="s">
        <v>1326</v>
      </c>
      <c r="K579" s="2">
        <v>303.24470304162202</v>
      </c>
      <c r="L579" s="2">
        <v>304.940728624933</v>
      </c>
      <c r="M579" s="2">
        <v>60.253229262041003</v>
      </c>
    </row>
    <row r="580" spans="1:13" x14ac:dyDescent="0.2">
      <c r="A580" s="2" t="s">
        <v>994</v>
      </c>
      <c r="B580" s="2">
        <v>179</v>
      </c>
      <c r="C580" s="2">
        <v>10</v>
      </c>
      <c r="D580" s="2">
        <v>1</v>
      </c>
      <c r="E580" s="2">
        <v>1</v>
      </c>
      <c r="F580" s="2">
        <v>1.6269511249847699</v>
      </c>
      <c r="G580" s="2" t="s">
        <v>1327</v>
      </c>
      <c r="H580" s="2" t="s">
        <v>1328</v>
      </c>
      <c r="I580" s="2" t="s">
        <v>16</v>
      </c>
      <c r="J580" s="2" t="s">
        <v>1329</v>
      </c>
      <c r="K580" s="2">
        <v>304.94703137502103</v>
      </c>
      <c r="L580" s="2">
        <v>306.57400612498202</v>
      </c>
      <c r="M580" s="2">
        <v>60.253229262041003</v>
      </c>
    </row>
    <row r="581" spans="1:13" x14ac:dyDescent="0.2">
      <c r="A581" s="2" t="s">
        <v>994</v>
      </c>
      <c r="B581" s="2">
        <v>180</v>
      </c>
      <c r="C581" s="2">
        <v>10</v>
      </c>
      <c r="D581" s="2">
        <v>1</v>
      </c>
      <c r="E581" s="2">
        <v>1</v>
      </c>
      <c r="F581" s="2">
        <v>1.6272103750379801</v>
      </c>
      <c r="G581" s="2" t="s">
        <v>423</v>
      </c>
      <c r="H581" s="2" t="s">
        <v>1330</v>
      </c>
      <c r="I581" s="2" t="s">
        <v>16</v>
      </c>
      <c r="J581" s="2" t="s">
        <v>1331</v>
      </c>
      <c r="K581" s="2">
        <v>306.58023770828697</v>
      </c>
      <c r="L581" s="2">
        <v>308.20747162494803</v>
      </c>
      <c r="M581" s="2">
        <v>60.253229262041003</v>
      </c>
    </row>
    <row r="582" spans="1:13" x14ac:dyDescent="0.2">
      <c r="A582" s="2" t="s">
        <v>994</v>
      </c>
      <c r="B582" s="2">
        <v>181</v>
      </c>
      <c r="C582" s="2">
        <v>5</v>
      </c>
      <c r="D582" s="2">
        <v>1</v>
      </c>
      <c r="E582" s="2">
        <v>1</v>
      </c>
      <c r="F582" s="2">
        <v>1.9966052917297901</v>
      </c>
      <c r="G582" s="2" t="s">
        <v>1332</v>
      </c>
      <c r="H582" s="2" t="s">
        <v>1333</v>
      </c>
      <c r="I582" s="2" t="s">
        <v>16</v>
      </c>
      <c r="J582" s="2" t="s">
        <v>1334</v>
      </c>
      <c r="K582" s="2">
        <v>308.21090104163198</v>
      </c>
      <c r="L582" s="2">
        <v>310.20753012492798</v>
      </c>
      <c r="M582" s="2">
        <v>60.253229262041003</v>
      </c>
    </row>
    <row r="583" spans="1:13" x14ac:dyDescent="0.2">
      <c r="A583" s="2" t="s">
        <v>994</v>
      </c>
      <c r="B583" s="2">
        <v>182</v>
      </c>
      <c r="C583" s="2">
        <v>5</v>
      </c>
      <c r="D583" s="2">
        <v>1</v>
      </c>
      <c r="E583" s="2">
        <v>1</v>
      </c>
      <c r="F583" s="2">
        <v>1.37961387494579</v>
      </c>
      <c r="G583" s="2" t="s">
        <v>73</v>
      </c>
      <c r="H583" s="2" t="s">
        <v>335</v>
      </c>
      <c r="I583" s="2" t="s">
        <v>16</v>
      </c>
      <c r="J583" s="2" t="s">
        <v>1335</v>
      </c>
      <c r="K583" s="2">
        <v>310.21089841669902</v>
      </c>
      <c r="L583" s="2">
        <v>311.59055954159697</v>
      </c>
      <c r="M583" s="2">
        <v>60.253229262041003</v>
      </c>
    </row>
    <row r="584" spans="1:13" x14ac:dyDescent="0.2">
      <c r="A584" s="2" t="s">
        <v>994</v>
      </c>
      <c r="B584" s="2">
        <v>183</v>
      </c>
      <c r="C584" s="2">
        <v>5</v>
      </c>
      <c r="D584" s="2">
        <v>1</v>
      </c>
      <c r="E584" s="2">
        <v>1</v>
      </c>
      <c r="F584" s="2">
        <v>1.6964652083115701</v>
      </c>
      <c r="G584" s="2" t="s">
        <v>322</v>
      </c>
      <c r="H584" s="2" t="s">
        <v>64</v>
      </c>
      <c r="I584" s="2" t="s">
        <v>16</v>
      </c>
      <c r="J584" s="2" t="s">
        <v>1336</v>
      </c>
      <c r="K584" s="2">
        <v>311.59437187493302</v>
      </c>
      <c r="L584" s="2">
        <v>313.29088241665198</v>
      </c>
      <c r="M584" s="2">
        <v>60.253229262041003</v>
      </c>
    </row>
    <row r="585" spans="1:13" x14ac:dyDescent="0.2">
      <c r="A585" s="2" t="s">
        <v>994</v>
      </c>
      <c r="B585" s="2">
        <v>184</v>
      </c>
      <c r="C585" s="2">
        <v>10</v>
      </c>
      <c r="D585" s="2">
        <v>1</v>
      </c>
      <c r="E585" s="2">
        <v>1</v>
      </c>
      <c r="F585" s="2">
        <v>1.3252391667338099</v>
      </c>
      <c r="G585" s="2" t="s">
        <v>1037</v>
      </c>
      <c r="H585" s="2" t="s">
        <v>1196</v>
      </c>
      <c r="I585" s="2" t="s">
        <v>16</v>
      </c>
      <c r="J585" s="2" t="s">
        <v>1337</v>
      </c>
      <c r="K585" s="2">
        <v>313.29923079162802</v>
      </c>
      <c r="L585" s="2">
        <v>314.624492125004</v>
      </c>
      <c r="M585" s="2">
        <v>60.253229262041003</v>
      </c>
    </row>
    <row r="586" spans="1:13" x14ac:dyDescent="0.2">
      <c r="A586" s="2" t="s">
        <v>994</v>
      </c>
      <c r="B586" s="2">
        <v>185</v>
      </c>
      <c r="C586" s="2">
        <v>10</v>
      </c>
      <c r="D586" s="2">
        <v>1</v>
      </c>
      <c r="E586" s="2">
        <v>1</v>
      </c>
      <c r="F586" s="2">
        <v>2.3265611249953499</v>
      </c>
      <c r="G586" s="2" t="s">
        <v>892</v>
      </c>
      <c r="H586" s="2" t="s">
        <v>55</v>
      </c>
      <c r="I586" s="2" t="s">
        <v>16</v>
      </c>
      <c r="J586" s="2" t="s">
        <v>1338</v>
      </c>
      <c r="K586" s="2">
        <v>314.63081233331502</v>
      </c>
      <c r="L586" s="2">
        <v>316.95739683334301</v>
      </c>
      <c r="M586" s="2">
        <v>60.253229262041003</v>
      </c>
    </row>
    <row r="587" spans="1:13" x14ac:dyDescent="0.2">
      <c r="A587" s="2" t="s">
        <v>994</v>
      </c>
      <c r="B587" s="2">
        <v>186</v>
      </c>
      <c r="C587" s="2">
        <v>5</v>
      </c>
      <c r="D587" s="2">
        <v>1</v>
      </c>
      <c r="E587" s="2">
        <v>1</v>
      </c>
      <c r="F587" s="2">
        <v>2.0298294166568698</v>
      </c>
      <c r="G587" s="2" t="s">
        <v>1339</v>
      </c>
      <c r="H587" s="2" t="s">
        <v>566</v>
      </c>
      <c r="I587" s="2" t="s">
        <v>16</v>
      </c>
      <c r="J587" s="2" t="s">
        <v>1340</v>
      </c>
      <c r="K587" s="2">
        <v>316.96084308333201</v>
      </c>
      <c r="L587" s="2">
        <v>318.99071379168902</v>
      </c>
      <c r="M587" s="2">
        <v>60.253229262041003</v>
      </c>
    </row>
    <row r="588" spans="1:13" x14ac:dyDescent="0.2">
      <c r="A588" s="2" t="s">
        <v>994</v>
      </c>
      <c r="B588" s="2">
        <v>187</v>
      </c>
      <c r="C588" s="2">
        <v>10</v>
      </c>
      <c r="D588" s="2">
        <v>1</v>
      </c>
      <c r="E588" s="2">
        <v>1</v>
      </c>
      <c r="F588" s="2">
        <v>1.8101330416975501</v>
      </c>
      <c r="G588" s="2" t="s">
        <v>602</v>
      </c>
      <c r="H588" s="2" t="s">
        <v>684</v>
      </c>
      <c r="I588" s="2" t="s">
        <v>16</v>
      </c>
      <c r="J588" s="2" t="s">
        <v>1341</v>
      </c>
      <c r="K588" s="2">
        <v>318.99704437493398</v>
      </c>
      <c r="L588" s="2">
        <v>320.80720070831001</v>
      </c>
      <c r="M588" s="2">
        <v>60.253229262041003</v>
      </c>
    </row>
    <row r="589" spans="1:13" x14ac:dyDescent="0.2">
      <c r="A589" s="2" t="s">
        <v>994</v>
      </c>
      <c r="B589" s="2">
        <v>188</v>
      </c>
      <c r="C589" s="2">
        <v>5</v>
      </c>
      <c r="D589" s="2">
        <v>1</v>
      </c>
      <c r="E589" s="2">
        <v>1</v>
      </c>
      <c r="F589" s="2">
        <v>1.2974529584171299</v>
      </c>
      <c r="G589" s="2" t="s">
        <v>1342</v>
      </c>
      <c r="H589" s="2" t="s">
        <v>826</v>
      </c>
      <c r="I589" s="2" t="s">
        <v>16</v>
      </c>
      <c r="J589" s="2" t="s">
        <v>1343</v>
      </c>
      <c r="K589" s="2">
        <v>320.81056679168302</v>
      </c>
      <c r="L589" s="2">
        <v>322.10806233331101</v>
      </c>
      <c r="M589" s="2">
        <v>60.253229262041003</v>
      </c>
    </row>
    <row r="590" spans="1:13" x14ac:dyDescent="0.2">
      <c r="A590" s="2" t="s">
        <v>994</v>
      </c>
      <c r="B590" s="2">
        <v>189</v>
      </c>
      <c r="C590" s="2">
        <v>5</v>
      </c>
      <c r="D590" s="2">
        <v>1</v>
      </c>
      <c r="E590" s="2">
        <v>1</v>
      </c>
      <c r="F590" s="2">
        <v>1.32807458331808</v>
      </c>
      <c r="G590" s="2" t="s">
        <v>709</v>
      </c>
      <c r="H590" s="2" t="s">
        <v>483</v>
      </c>
      <c r="I590" s="2" t="s">
        <v>16</v>
      </c>
      <c r="J590" s="2" t="s">
        <v>1344</v>
      </c>
      <c r="K590" s="2">
        <v>322.112566999975</v>
      </c>
      <c r="L590" s="2">
        <v>323.44067024998401</v>
      </c>
      <c r="M590" s="2">
        <v>60.253229262041003</v>
      </c>
    </row>
    <row r="591" spans="1:13" x14ac:dyDescent="0.2">
      <c r="A591" s="2" t="s">
        <v>994</v>
      </c>
      <c r="B591" s="2">
        <v>190</v>
      </c>
      <c r="C591" s="2">
        <v>5</v>
      </c>
      <c r="D591" s="2">
        <v>1</v>
      </c>
      <c r="E591" s="2">
        <v>1</v>
      </c>
      <c r="F591" s="2">
        <v>1.8289994583465199</v>
      </c>
      <c r="G591" s="2" t="s">
        <v>32</v>
      </c>
      <c r="H591" s="2" t="s">
        <v>1345</v>
      </c>
      <c r="I591" s="2" t="s">
        <v>16</v>
      </c>
      <c r="J591" s="2" t="s">
        <v>1346</v>
      </c>
      <c r="K591" s="2">
        <v>323.44503416668198</v>
      </c>
      <c r="L591" s="2">
        <v>325.27405599993699</v>
      </c>
      <c r="M591" s="2">
        <v>60.253229262041003</v>
      </c>
    </row>
    <row r="592" spans="1:13" x14ac:dyDescent="0.2">
      <c r="A592" s="2" t="s">
        <v>994</v>
      </c>
      <c r="B592" s="2">
        <v>191</v>
      </c>
      <c r="C592" s="2">
        <v>10</v>
      </c>
      <c r="D592" s="2">
        <v>1</v>
      </c>
      <c r="E592" s="2">
        <v>1</v>
      </c>
      <c r="F592" s="2">
        <v>1.3767576250247699</v>
      </c>
      <c r="G592" s="2" t="s">
        <v>156</v>
      </c>
      <c r="H592" s="2" t="s">
        <v>344</v>
      </c>
      <c r="I592" s="2" t="s">
        <v>16</v>
      </c>
      <c r="J592" s="2" t="s">
        <v>1347</v>
      </c>
      <c r="K592" s="2">
        <v>325.28037116664899</v>
      </c>
      <c r="L592" s="2">
        <v>326.65715216658998</v>
      </c>
      <c r="M592" s="2">
        <v>60.253229262041003</v>
      </c>
    </row>
    <row r="593" spans="1:13" x14ac:dyDescent="0.2">
      <c r="A593" s="2" t="s">
        <v>994</v>
      </c>
      <c r="B593" s="2">
        <v>192</v>
      </c>
      <c r="C593" s="2">
        <v>10</v>
      </c>
      <c r="D593" s="2">
        <v>1</v>
      </c>
      <c r="E593" s="2">
        <v>1</v>
      </c>
      <c r="F593" s="2">
        <v>1.74398362496868</v>
      </c>
      <c r="G593" s="2" t="s">
        <v>443</v>
      </c>
      <c r="H593" s="2" t="s">
        <v>361</v>
      </c>
      <c r="I593" s="2" t="s">
        <v>16</v>
      </c>
      <c r="J593" s="2" t="s">
        <v>1348</v>
      </c>
      <c r="K593" s="2">
        <v>326.663355541648</v>
      </c>
      <c r="L593" s="2">
        <v>328.407362708356</v>
      </c>
      <c r="M593" s="2">
        <v>60.253229262041003</v>
      </c>
    </row>
    <row r="594" spans="1:13" x14ac:dyDescent="0.2">
      <c r="A594" s="2" t="s">
        <v>994</v>
      </c>
      <c r="B594" s="2">
        <v>193</v>
      </c>
      <c r="C594" s="2">
        <v>5</v>
      </c>
      <c r="D594" s="2">
        <v>1</v>
      </c>
      <c r="E594" s="2">
        <v>1</v>
      </c>
      <c r="F594" s="2">
        <v>1.9632903750752999</v>
      </c>
      <c r="G594" s="2" t="s">
        <v>970</v>
      </c>
      <c r="H594" s="2" t="s">
        <v>1096</v>
      </c>
      <c r="I594" s="2" t="s">
        <v>16</v>
      </c>
      <c r="J594" s="2" t="s">
        <v>1349</v>
      </c>
      <c r="K594" s="2">
        <v>328.410711916629</v>
      </c>
      <c r="L594" s="2">
        <v>330.37402454169899</v>
      </c>
      <c r="M594" s="2">
        <v>60.253229262041003</v>
      </c>
    </row>
    <row r="595" spans="1:13" x14ac:dyDescent="0.2">
      <c r="A595" s="2" t="s">
        <v>994</v>
      </c>
      <c r="B595" s="2">
        <v>194</v>
      </c>
      <c r="C595" s="2">
        <v>10</v>
      </c>
      <c r="D595" s="2">
        <v>1</v>
      </c>
      <c r="E595" s="2">
        <v>1</v>
      </c>
      <c r="F595" s="2">
        <v>1.77772179164458</v>
      </c>
      <c r="G595" s="2" t="s">
        <v>108</v>
      </c>
      <c r="H595" s="2" t="s">
        <v>423</v>
      </c>
      <c r="I595" s="2" t="s">
        <v>16</v>
      </c>
      <c r="J595" s="2" t="s">
        <v>1350</v>
      </c>
      <c r="K595" s="2">
        <v>330.38031641661701</v>
      </c>
      <c r="L595" s="2">
        <v>332.15808387496497</v>
      </c>
      <c r="M595" s="2">
        <v>60.253229262041003</v>
      </c>
    </row>
    <row r="596" spans="1:13" x14ac:dyDescent="0.2">
      <c r="A596" s="2" t="s">
        <v>994</v>
      </c>
      <c r="B596" s="2">
        <v>195</v>
      </c>
      <c r="C596" s="2">
        <v>5</v>
      </c>
      <c r="D596" s="2">
        <v>1</v>
      </c>
      <c r="E596" s="2">
        <v>1</v>
      </c>
      <c r="F596" s="2">
        <v>1.57859633339103</v>
      </c>
      <c r="G596" s="2" t="s">
        <v>1351</v>
      </c>
      <c r="H596" s="2" t="s">
        <v>496</v>
      </c>
      <c r="I596" s="2" t="s">
        <v>16</v>
      </c>
      <c r="J596" s="2" t="s">
        <v>1352</v>
      </c>
      <c r="K596" s="2">
        <v>332.16274583328101</v>
      </c>
      <c r="L596" s="2">
        <v>333.74137091659901</v>
      </c>
      <c r="M596" s="2">
        <v>60.253229262041003</v>
      </c>
    </row>
    <row r="597" spans="1:13" x14ac:dyDescent="0.2">
      <c r="A597" s="2" t="s">
        <v>994</v>
      </c>
      <c r="B597" s="2">
        <v>196</v>
      </c>
      <c r="C597" s="2">
        <v>10</v>
      </c>
      <c r="D597" s="2">
        <v>1</v>
      </c>
      <c r="E597" s="2">
        <v>1</v>
      </c>
      <c r="F597" s="2">
        <v>2.12501470837742</v>
      </c>
      <c r="G597" s="2" t="s">
        <v>990</v>
      </c>
      <c r="H597" s="2" t="s">
        <v>387</v>
      </c>
      <c r="I597" s="2" t="s">
        <v>16</v>
      </c>
      <c r="J597" s="2" t="s">
        <v>1353</v>
      </c>
      <c r="K597" s="2">
        <v>333.74896408326498</v>
      </c>
      <c r="L597" s="2">
        <v>335.87400245829502</v>
      </c>
      <c r="M597" s="2">
        <v>60.253229262041003</v>
      </c>
    </row>
    <row r="598" spans="1:13" x14ac:dyDescent="0.2">
      <c r="A598" s="2" t="s">
        <v>994</v>
      </c>
      <c r="B598" s="2">
        <v>197</v>
      </c>
      <c r="C598" s="2">
        <v>5</v>
      </c>
      <c r="D598" s="2">
        <v>1</v>
      </c>
      <c r="E598" s="2">
        <v>1</v>
      </c>
      <c r="F598" s="2">
        <v>1.1964428332867101</v>
      </c>
      <c r="G598" s="2" t="s">
        <v>1354</v>
      </c>
      <c r="H598" s="2" t="s">
        <v>387</v>
      </c>
      <c r="I598" s="2" t="s">
        <v>16</v>
      </c>
      <c r="J598" s="2" t="s">
        <v>1355</v>
      </c>
      <c r="K598" s="2">
        <v>335.87750241661001</v>
      </c>
      <c r="L598" s="2">
        <v>337.073967166594</v>
      </c>
      <c r="M598" s="2">
        <v>60.253229262041003</v>
      </c>
    </row>
    <row r="599" spans="1:13" x14ac:dyDescent="0.2">
      <c r="A599" s="2" t="s">
        <v>994</v>
      </c>
      <c r="B599" s="2">
        <v>198</v>
      </c>
      <c r="C599" s="2">
        <v>10</v>
      </c>
      <c r="D599" s="2">
        <v>1</v>
      </c>
      <c r="E599" s="2">
        <v>1</v>
      </c>
      <c r="F599" s="2">
        <v>2.0104160833871001</v>
      </c>
      <c r="G599" s="2" t="s">
        <v>1356</v>
      </c>
      <c r="H599" s="2" t="s">
        <v>610</v>
      </c>
      <c r="I599" s="2" t="s">
        <v>16</v>
      </c>
      <c r="J599" s="2" t="s">
        <v>1357</v>
      </c>
      <c r="K599" s="2">
        <v>337.08020129159598</v>
      </c>
      <c r="L599" s="2">
        <v>339.090640333365</v>
      </c>
      <c r="M599" s="2">
        <v>60.253229262041003</v>
      </c>
    </row>
    <row r="600" spans="1:13" x14ac:dyDescent="0.2">
      <c r="A600" s="2" t="s">
        <v>994</v>
      </c>
      <c r="B600" s="2">
        <v>199</v>
      </c>
      <c r="C600" s="2">
        <v>5</v>
      </c>
      <c r="D600" s="2">
        <v>1</v>
      </c>
      <c r="E600" s="2">
        <v>1</v>
      </c>
      <c r="F600" s="2">
        <v>1.44660441670567</v>
      </c>
      <c r="G600" s="2" t="s">
        <v>111</v>
      </c>
      <c r="H600" s="2" t="s">
        <v>1358</v>
      </c>
      <c r="I600" s="2" t="s">
        <v>16</v>
      </c>
      <c r="J600" s="2" t="s">
        <v>1359</v>
      </c>
      <c r="K600" s="2">
        <v>339.09404050000001</v>
      </c>
      <c r="L600" s="2">
        <v>340.54066679161002</v>
      </c>
      <c r="M600" s="2">
        <v>60.253229262041003</v>
      </c>
    </row>
    <row r="601" spans="1:13" x14ac:dyDescent="0.2">
      <c r="A601" s="2" t="s">
        <v>994</v>
      </c>
      <c r="B601" s="2">
        <v>200</v>
      </c>
      <c r="C601" s="2">
        <v>10</v>
      </c>
      <c r="D601" s="2">
        <v>1</v>
      </c>
      <c r="E601" s="2">
        <v>1</v>
      </c>
      <c r="F601" s="2">
        <v>1.5934864999726399</v>
      </c>
      <c r="G601" s="2" t="s">
        <v>666</v>
      </c>
      <c r="H601" s="2" t="s">
        <v>172</v>
      </c>
      <c r="I601" s="2" t="s">
        <v>16</v>
      </c>
      <c r="J601" s="2" t="s">
        <v>1360</v>
      </c>
      <c r="K601" s="2">
        <v>340.54687141661998</v>
      </c>
      <c r="L601" s="2">
        <v>342.14040529169102</v>
      </c>
      <c r="M601" s="2">
        <v>60.253229262041003</v>
      </c>
    </row>
    <row r="602" spans="1:13" x14ac:dyDescent="0.2">
      <c r="A602" s="2" t="s">
        <v>1361</v>
      </c>
      <c r="B602" s="2">
        <v>1</v>
      </c>
      <c r="C602" s="2">
        <v>5</v>
      </c>
      <c r="D602" s="2">
        <v>1</v>
      </c>
      <c r="E602" s="2">
        <v>1</v>
      </c>
      <c r="F602" s="2">
        <v>1.33998133335263</v>
      </c>
      <c r="G602" s="2" t="s">
        <v>1362</v>
      </c>
      <c r="H602" s="2" t="s">
        <v>1261</v>
      </c>
      <c r="I602" s="2" t="s">
        <v>16</v>
      </c>
      <c r="J602" s="2" t="s">
        <v>1363</v>
      </c>
      <c r="K602" s="2">
        <v>1.5901255416683899</v>
      </c>
      <c r="L602" s="2">
        <v>2.9301199166802698</v>
      </c>
      <c r="M602" s="2">
        <v>59.735074969738001</v>
      </c>
    </row>
    <row r="603" spans="1:13" x14ac:dyDescent="0.2">
      <c r="A603" s="2" t="s">
        <v>1361</v>
      </c>
      <c r="B603" s="2">
        <v>2</v>
      </c>
      <c r="C603" s="2">
        <v>10</v>
      </c>
      <c r="D603" s="2">
        <v>1</v>
      </c>
      <c r="E603" s="2">
        <v>1</v>
      </c>
      <c r="F603" s="2">
        <v>1.51220275007654</v>
      </c>
      <c r="G603" s="2" t="s">
        <v>1364</v>
      </c>
      <c r="H603" s="2" t="s">
        <v>939</v>
      </c>
      <c r="I603" s="2" t="s">
        <v>16</v>
      </c>
      <c r="J603" s="2" t="s">
        <v>1365</v>
      </c>
      <c r="K603" s="2">
        <v>2.9341383749852001</v>
      </c>
      <c r="L603" s="2">
        <v>4.4463536249240896</v>
      </c>
      <c r="M603" s="2">
        <v>59.735074969738001</v>
      </c>
    </row>
    <row r="604" spans="1:13" x14ac:dyDescent="0.2">
      <c r="A604" s="2" t="s">
        <v>1361</v>
      </c>
      <c r="B604" s="2">
        <v>3</v>
      </c>
      <c r="C604" s="2">
        <v>10</v>
      </c>
      <c r="D604" s="2">
        <v>2</v>
      </c>
      <c r="E604" s="2">
        <v>0</v>
      </c>
      <c r="F604" s="2">
        <v>3.4463539166608799</v>
      </c>
      <c r="G604" s="2" t="s">
        <v>1366</v>
      </c>
      <c r="H604" s="2" t="s">
        <v>1367</v>
      </c>
      <c r="I604" s="2" t="s">
        <v>23</v>
      </c>
      <c r="J604" s="2" t="s">
        <v>1368</v>
      </c>
      <c r="K604" s="2">
        <v>4.4498874583514398</v>
      </c>
      <c r="L604" s="2">
        <v>7.8962529166601598</v>
      </c>
      <c r="M604" s="2">
        <v>59.735074969738001</v>
      </c>
    </row>
    <row r="605" spans="1:13" x14ac:dyDescent="0.2">
      <c r="A605" s="2" t="s">
        <v>1361</v>
      </c>
      <c r="B605" s="2">
        <v>4</v>
      </c>
      <c r="C605" s="2">
        <v>5</v>
      </c>
      <c r="D605" s="2">
        <v>1</v>
      </c>
      <c r="E605" s="2">
        <v>1</v>
      </c>
      <c r="F605" s="2">
        <v>1.24815995828249</v>
      </c>
      <c r="G605" s="2" t="s">
        <v>224</v>
      </c>
      <c r="H605" s="2" t="s">
        <v>1180</v>
      </c>
      <c r="I605" s="2" t="s">
        <v>16</v>
      </c>
      <c r="J605" s="2" t="s">
        <v>1369</v>
      </c>
      <c r="K605" s="2">
        <v>7.8981737083522603</v>
      </c>
      <c r="L605" s="2">
        <v>9.1463462916435692</v>
      </c>
      <c r="M605" s="2">
        <v>59.735074969738001</v>
      </c>
    </row>
    <row r="606" spans="1:13" x14ac:dyDescent="0.2">
      <c r="A606" s="2" t="s">
        <v>1361</v>
      </c>
      <c r="B606" s="2">
        <v>5</v>
      </c>
      <c r="C606" s="2">
        <v>10</v>
      </c>
      <c r="D606" s="2">
        <v>1</v>
      </c>
      <c r="E606" s="2">
        <v>1</v>
      </c>
      <c r="F606" s="2">
        <v>1.7629774999804799</v>
      </c>
      <c r="G606" s="2" t="s">
        <v>233</v>
      </c>
      <c r="H606" s="2" t="s">
        <v>1208</v>
      </c>
      <c r="I606" s="2" t="s">
        <v>16</v>
      </c>
      <c r="J606" s="2" t="s">
        <v>1370</v>
      </c>
      <c r="K606" s="2">
        <v>9.1498783749993908</v>
      </c>
      <c r="L606" s="2">
        <v>10.912869333289599</v>
      </c>
      <c r="M606" s="2">
        <v>59.735074969738001</v>
      </c>
    </row>
    <row r="607" spans="1:13" x14ac:dyDescent="0.2">
      <c r="A607" s="2" t="s">
        <v>1361</v>
      </c>
      <c r="B607" s="2">
        <v>6</v>
      </c>
      <c r="C607" s="2">
        <v>10</v>
      </c>
      <c r="D607" s="2">
        <v>1</v>
      </c>
      <c r="E607" s="2">
        <v>1</v>
      </c>
      <c r="F607" s="2">
        <v>1.7631139167351699</v>
      </c>
      <c r="G607" s="2" t="s">
        <v>1286</v>
      </c>
      <c r="H607" s="2" t="s">
        <v>1371</v>
      </c>
      <c r="I607" s="2" t="s">
        <v>16</v>
      </c>
      <c r="J607" s="2" t="s">
        <v>1372</v>
      </c>
      <c r="K607" s="2">
        <v>10.9164715416264</v>
      </c>
      <c r="L607" s="2">
        <v>12.6795980416937</v>
      </c>
      <c r="M607" s="2">
        <v>59.735074969738001</v>
      </c>
    </row>
    <row r="608" spans="1:13" x14ac:dyDescent="0.2">
      <c r="A608" s="2" t="s">
        <v>1361</v>
      </c>
      <c r="B608" s="2">
        <v>7</v>
      </c>
      <c r="C608" s="2">
        <v>10</v>
      </c>
      <c r="D608" s="2">
        <v>1</v>
      </c>
      <c r="E608" s="2">
        <v>1</v>
      </c>
      <c r="F608" s="2">
        <v>0.99628600000869505</v>
      </c>
      <c r="G608" s="2" t="s">
        <v>139</v>
      </c>
      <c r="H608" s="2" t="s">
        <v>401</v>
      </c>
      <c r="I608" s="2" t="s">
        <v>16</v>
      </c>
      <c r="J608" s="2" t="s">
        <v>1373</v>
      </c>
      <c r="K608" s="2">
        <v>12.683127833297499</v>
      </c>
      <c r="L608" s="2">
        <v>13.6794255833374</v>
      </c>
      <c r="M608" s="2">
        <v>59.735074969738001</v>
      </c>
    </row>
    <row r="609" spans="1:13" x14ac:dyDescent="0.2">
      <c r="A609" s="2" t="s">
        <v>1361</v>
      </c>
      <c r="B609" s="2">
        <v>8</v>
      </c>
      <c r="C609" s="2">
        <v>5</v>
      </c>
      <c r="D609" s="2">
        <v>1</v>
      </c>
      <c r="E609" s="2">
        <v>1</v>
      </c>
      <c r="F609" s="2">
        <v>1.1650054582860301</v>
      </c>
      <c r="G609" s="2" t="s">
        <v>1253</v>
      </c>
      <c r="H609" s="2" t="s">
        <v>224</v>
      </c>
      <c r="I609" s="2" t="s">
        <v>16</v>
      </c>
      <c r="J609" s="2" t="s">
        <v>1374</v>
      </c>
      <c r="K609" s="2">
        <v>13.6813805416459</v>
      </c>
      <c r="L609" s="2">
        <v>14.8463984583505</v>
      </c>
      <c r="M609" s="2">
        <v>59.735074969738001</v>
      </c>
    </row>
    <row r="610" spans="1:13" x14ac:dyDescent="0.2">
      <c r="A610" s="2" t="s">
        <v>1361</v>
      </c>
      <c r="B610" s="2">
        <v>9</v>
      </c>
      <c r="C610" s="2">
        <v>10</v>
      </c>
      <c r="D610" s="2">
        <v>1</v>
      </c>
      <c r="E610" s="2">
        <v>1</v>
      </c>
      <c r="F610" s="2">
        <v>2.2463179582264301</v>
      </c>
      <c r="G610" s="2" t="s">
        <v>1375</v>
      </c>
      <c r="H610" s="2" t="s">
        <v>931</v>
      </c>
      <c r="I610" s="2" t="s">
        <v>16</v>
      </c>
      <c r="J610" s="2" t="s">
        <v>1376</v>
      </c>
      <c r="K610" s="2">
        <v>14.8497846666724</v>
      </c>
      <c r="L610" s="2">
        <v>17.096114458283399</v>
      </c>
      <c r="M610" s="2">
        <v>59.735074969738001</v>
      </c>
    </row>
    <row r="611" spans="1:13" x14ac:dyDescent="0.2">
      <c r="A611" s="2" t="s">
        <v>1361</v>
      </c>
      <c r="B611" s="2">
        <v>10</v>
      </c>
      <c r="C611" s="2">
        <v>5</v>
      </c>
      <c r="D611" s="2">
        <v>1</v>
      </c>
      <c r="E611" s="2">
        <v>1</v>
      </c>
      <c r="F611" s="2">
        <v>1.7314309582579901</v>
      </c>
      <c r="G611" s="2" t="s">
        <v>819</v>
      </c>
      <c r="H611" s="2" t="s">
        <v>1377</v>
      </c>
      <c r="I611" s="2" t="s">
        <v>16</v>
      </c>
      <c r="J611" s="2" t="s">
        <v>1378</v>
      </c>
      <c r="K611" s="2">
        <v>17.098047249950501</v>
      </c>
      <c r="L611" s="2">
        <v>18.8294890415855</v>
      </c>
      <c r="M611" s="2">
        <v>59.735074969738001</v>
      </c>
    </row>
    <row r="612" spans="1:13" x14ac:dyDescent="0.2">
      <c r="A612" s="2" t="s">
        <v>1361</v>
      </c>
      <c r="B612" s="2">
        <v>11</v>
      </c>
      <c r="C612" s="2">
        <v>10</v>
      </c>
      <c r="D612" s="2">
        <v>1</v>
      </c>
      <c r="E612" s="2">
        <v>1</v>
      </c>
      <c r="F612" s="2">
        <v>1.61351333325729</v>
      </c>
      <c r="G612" s="2" t="s">
        <v>1379</v>
      </c>
      <c r="H612" s="2" t="s">
        <v>922</v>
      </c>
      <c r="I612" s="2" t="s">
        <v>16</v>
      </c>
      <c r="J612" s="2" t="s">
        <v>1380</v>
      </c>
      <c r="K612" s="2">
        <v>18.8329852499301</v>
      </c>
      <c r="L612" s="2">
        <v>20.446522583253699</v>
      </c>
      <c r="M612" s="2">
        <v>59.735074969738001</v>
      </c>
    </row>
    <row r="613" spans="1:13" x14ac:dyDescent="0.2">
      <c r="A613" s="2" t="s">
        <v>1361</v>
      </c>
      <c r="B613" s="2">
        <v>12</v>
      </c>
      <c r="C613" s="2">
        <v>10</v>
      </c>
      <c r="D613" s="2">
        <v>1</v>
      </c>
      <c r="E613" s="2">
        <v>1</v>
      </c>
      <c r="F613" s="2">
        <v>1.27877537498716</v>
      </c>
      <c r="G613" s="2" t="s">
        <v>1381</v>
      </c>
      <c r="H613" s="2" t="s">
        <v>1354</v>
      </c>
      <c r="I613" s="2" t="s">
        <v>16</v>
      </c>
      <c r="J613" s="2" t="s">
        <v>1382</v>
      </c>
      <c r="K613" s="2">
        <v>20.450772583251801</v>
      </c>
      <c r="L613" s="2">
        <v>21.729558874969399</v>
      </c>
      <c r="M613" s="2">
        <v>59.735074969738001</v>
      </c>
    </row>
    <row r="614" spans="1:13" x14ac:dyDescent="0.2">
      <c r="A614" s="2" t="s">
        <v>1361</v>
      </c>
      <c r="B614" s="2">
        <v>13</v>
      </c>
      <c r="C614" s="2">
        <v>10</v>
      </c>
      <c r="D614" s="2">
        <v>1</v>
      </c>
      <c r="E614" s="2">
        <v>1</v>
      </c>
      <c r="F614" s="2">
        <v>1.6298282083589599</v>
      </c>
      <c r="G614" s="2" t="s">
        <v>1224</v>
      </c>
      <c r="H614" s="2" t="s">
        <v>1383</v>
      </c>
      <c r="I614" s="2" t="s">
        <v>16</v>
      </c>
      <c r="J614" s="2" t="s">
        <v>1384</v>
      </c>
      <c r="K614" s="2">
        <v>21.733054458280101</v>
      </c>
      <c r="L614" s="2">
        <v>23.362893833313102</v>
      </c>
      <c r="M614" s="2">
        <v>59.735074969738001</v>
      </c>
    </row>
    <row r="615" spans="1:13" x14ac:dyDescent="0.2">
      <c r="A615" s="2" t="s">
        <v>1361</v>
      </c>
      <c r="B615" s="2">
        <v>14</v>
      </c>
      <c r="C615" s="2">
        <v>10</v>
      </c>
      <c r="D615" s="2">
        <v>1</v>
      </c>
      <c r="E615" s="2">
        <v>1</v>
      </c>
      <c r="F615" s="2">
        <v>2.063418708276</v>
      </c>
      <c r="G615" s="2" t="s">
        <v>119</v>
      </c>
      <c r="H615" s="2" t="s">
        <v>587</v>
      </c>
      <c r="I615" s="2" t="s">
        <v>16</v>
      </c>
      <c r="J615" s="2" t="s">
        <v>1385</v>
      </c>
      <c r="K615" s="2">
        <v>23.366328416624999</v>
      </c>
      <c r="L615" s="2">
        <v>25.4297579166014</v>
      </c>
      <c r="M615" s="2">
        <v>59.735074969738001</v>
      </c>
    </row>
    <row r="616" spans="1:13" x14ac:dyDescent="0.2">
      <c r="A616" s="2" t="s">
        <v>1361</v>
      </c>
      <c r="B616" s="2">
        <v>15</v>
      </c>
      <c r="C616" s="2">
        <v>10</v>
      </c>
      <c r="D616" s="2">
        <v>1</v>
      </c>
      <c r="E616" s="2">
        <v>1</v>
      </c>
      <c r="F616" s="2">
        <v>1.44658508326393</v>
      </c>
      <c r="G616" s="2" t="s">
        <v>34</v>
      </c>
      <c r="H616" s="2" t="s">
        <v>1386</v>
      </c>
      <c r="I616" s="2" t="s">
        <v>16</v>
      </c>
      <c r="J616" s="2" t="s">
        <v>1387</v>
      </c>
      <c r="K616" s="2">
        <v>25.433192416676299</v>
      </c>
      <c r="L616" s="2">
        <v>26.879790041595701</v>
      </c>
      <c r="M616" s="2">
        <v>59.735074969738001</v>
      </c>
    </row>
    <row r="617" spans="1:13" x14ac:dyDescent="0.2">
      <c r="A617" s="2" t="s">
        <v>1361</v>
      </c>
      <c r="B617" s="2">
        <v>16</v>
      </c>
      <c r="C617" s="2">
        <v>5</v>
      </c>
      <c r="D617" s="2">
        <v>1</v>
      </c>
      <c r="E617" s="2">
        <v>1</v>
      </c>
      <c r="F617" s="2">
        <v>1.34788024995942</v>
      </c>
      <c r="G617" s="2" t="s">
        <v>179</v>
      </c>
      <c r="H617" s="2" t="s">
        <v>335</v>
      </c>
      <c r="I617" s="2" t="s">
        <v>16</v>
      </c>
      <c r="J617" s="2" t="s">
        <v>1388</v>
      </c>
      <c r="K617" s="2">
        <v>26.881572374957599</v>
      </c>
      <c r="L617" s="2">
        <v>28.229463749914402</v>
      </c>
      <c r="M617" s="2">
        <v>59.735074969738001</v>
      </c>
    </row>
    <row r="618" spans="1:13" x14ac:dyDescent="0.2">
      <c r="A618" s="2" t="s">
        <v>1361</v>
      </c>
      <c r="B618" s="2">
        <v>17</v>
      </c>
      <c r="C618" s="2">
        <v>5</v>
      </c>
      <c r="D618" s="2">
        <v>1</v>
      </c>
      <c r="E618" s="2">
        <v>1</v>
      </c>
      <c r="F618" s="2">
        <v>1.31507099990267</v>
      </c>
      <c r="G618" s="2" t="s">
        <v>1389</v>
      </c>
      <c r="H618" s="2" t="s">
        <v>1317</v>
      </c>
      <c r="I618" s="2" t="s">
        <v>16</v>
      </c>
      <c r="J618" s="2" t="s">
        <v>1390</v>
      </c>
      <c r="K618" s="2">
        <v>28.231340291677</v>
      </c>
      <c r="L618" s="2">
        <v>29.546423249994401</v>
      </c>
      <c r="M618" s="2">
        <v>59.735074969738001</v>
      </c>
    </row>
    <row r="619" spans="1:13" x14ac:dyDescent="0.2">
      <c r="A619" s="2" t="s">
        <v>1361</v>
      </c>
      <c r="B619" s="2">
        <v>18</v>
      </c>
      <c r="C619" s="2">
        <v>10</v>
      </c>
      <c r="D619" s="2">
        <v>1</v>
      </c>
      <c r="E619" s="2">
        <v>1</v>
      </c>
      <c r="F619" s="2">
        <v>1.3296248334227101</v>
      </c>
      <c r="G619" s="2" t="s">
        <v>79</v>
      </c>
      <c r="H619" s="2" t="s">
        <v>926</v>
      </c>
      <c r="I619" s="2" t="s">
        <v>16</v>
      </c>
      <c r="J619" s="2" t="s">
        <v>1391</v>
      </c>
      <c r="K619" s="2">
        <v>29.549914374947601</v>
      </c>
      <c r="L619" s="2">
        <v>30.879554458311802</v>
      </c>
      <c r="M619" s="2">
        <v>59.735074969738001</v>
      </c>
    </row>
    <row r="620" spans="1:13" x14ac:dyDescent="0.2">
      <c r="A620" s="2" t="s">
        <v>1361</v>
      </c>
      <c r="B620" s="2">
        <v>19</v>
      </c>
      <c r="C620" s="2">
        <v>10</v>
      </c>
      <c r="D620" s="2">
        <v>1</v>
      </c>
      <c r="E620" s="2">
        <v>1</v>
      </c>
      <c r="F620" s="2">
        <v>1.2796624166658199</v>
      </c>
      <c r="G620" s="2" t="s">
        <v>1392</v>
      </c>
      <c r="H620" s="2" t="s">
        <v>845</v>
      </c>
      <c r="I620" s="2" t="s">
        <v>16</v>
      </c>
      <c r="J620" s="2" t="s">
        <v>1393</v>
      </c>
      <c r="K620" s="2">
        <v>30.8831924166298</v>
      </c>
      <c r="L620" s="2">
        <v>32.162866666680202</v>
      </c>
      <c r="M620" s="2">
        <v>59.735074969738001</v>
      </c>
    </row>
    <row r="621" spans="1:13" x14ac:dyDescent="0.2">
      <c r="A621" s="2" t="s">
        <v>1361</v>
      </c>
      <c r="B621" s="2">
        <v>20</v>
      </c>
      <c r="C621" s="2">
        <v>5</v>
      </c>
      <c r="D621" s="2">
        <v>1</v>
      </c>
      <c r="E621" s="2">
        <v>1</v>
      </c>
      <c r="F621" s="2">
        <v>1.14802237506956</v>
      </c>
      <c r="G621" s="2" t="s">
        <v>956</v>
      </c>
      <c r="H621" s="2" t="s">
        <v>1394</v>
      </c>
      <c r="I621" s="2" t="s">
        <v>16</v>
      </c>
      <c r="J621" s="2" t="s">
        <v>1395</v>
      </c>
      <c r="K621" s="2">
        <v>32.164845416671596</v>
      </c>
      <c r="L621" s="2">
        <v>33.312879333272598</v>
      </c>
      <c r="M621" s="2">
        <v>59.735074969738001</v>
      </c>
    </row>
    <row r="622" spans="1:13" x14ac:dyDescent="0.2">
      <c r="A622" s="2" t="s">
        <v>1361</v>
      </c>
      <c r="B622" s="2">
        <v>21</v>
      </c>
      <c r="C622" s="2">
        <v>10</v>
      </c>
      <c r="D622" s="2">
        <v>1</v>
      </c>
      <c r="E622" s="2">
        <v>1</v>
      </c>
      <c r="F622" s="2">
        <v>1.2797902500024101</v>
      </c>
      <c r="G622" s="2" t="s">
        <v>783</v>
      </c>
      <c r="H622" s="2" t="s">
        <v>687</v>
      </c>
      <c r="I622" s="2" t="s">
        <v>16</v>
      </c>
      <c r="J622" s="2" t="s">
        <v>1396</v>
      </c>
      <c r="K622" s="2">
        <v>33.316354124923201</v>
      </c>
      <c r="L622" s="2">
        <v>34.596156833344097</v>
      </c>
      <c r="M622" s="2">
        <v>59.735074969738001</v>
      </c>
    </row>
    <row r="623" spans="1:13" x14ac:dyDescent="0.2">
      <c r="A623" s="2" t="s">
        <v>1361</v>
      </c>
      <c r="B623" s="2">
        <v>22</v>
      </c>
      <c r="C623" s="2">
        <v>10</v>
      </c>
      <c r="D623" s="2">
        <v>1</v>
      </c>
      <c r="E623" s="2">
        <v>1</v>
      </c>
      <c r="F623" s="2">
        <v>1.12979641673155</v>
      </c>
      <c r="G623" s="2" t="s">
        <v>1397</v>
      </c>
      <c r="H623" s="2" t="s">
        <v>1398</v>
      </c>
      <c r="I623" s="2" t="s">
        <v>16</v>
      </c>
      <c r="J623" s="2" t="s">
        <v>1399</v>
      </c>
      <c r="K623" s="2">
        <v>34.599885916686603</v>
      </c>
      <c r="L623" s="2">
        <v>35.729693625005901</v>
      </c>
      <c r="M623" s="2">
        <v>59.735074969738001</v>
      </c>
    </row>
    <row r="624" spans="1:13" x14ac:dyDescent="0.2">
      <c r="A624" s="2" t="s">
        <v>1361</v>
      </c>
      <c r="B624" s="2">
        <v>23</v>
      </c>
      <c r="C624" s="2">
        <v>10</v>
      </c>
      <c r="D624" s="2">
        <v>1</v>
      </c>
      <c r="E624" s="2">
        <v>1</v>
      </c>
      <c r="F624" s="2">
        <v>1.7296843749936699</v>
      </c>
      <c r="G624" s="2" t="s">
        <v>1400</v>
      </c>
      <c r="H624" s="2" t="s">
        <v>1005</v>
      </c>
      <c r="I624" s="2" t="s">
        <v>16</v>
      </c>
      <c r="J624" s="2" t="s">
        <v>1401</v>
      </c>
      <c r="K624" s="2">
        <v>35.733145166654097</v>
      </c>
      <c r="L624" s="2">
        <v>37.462841458269402</v>
      </c>
      <c r="M624" s="2">
        <v>59.735074969738001</v>
      </c>
    </row>
    <row r="625" spans="1:13" x14ac:dyDescent="0.2">
      <c r="A625" s="2" t="s">
        <v>1361</v>
      </c>
      <c r="B625" s="2">
        <v>24</v>
      </c>
      <c r="C625" s="2">
        <v>5</v>
      </c>
      <c r="D625" s="2">
        <v>1</v>
      </c>
      <c r="E625" s="2">
        <v>1</v>
      </c>
      <c r="F625" s="2">
        <v>1.1147345417412</v>
      </c>
      <c r="G625" s="2" t="s">
        <v>762</v>
      </c>
      <c r="H625" s="2" t="s">
        <v>1175</v>
      </c>
      <c r="I625" s="2" t="s">
        <v>16</v>
      </c>
      <c r="J625" s="2" t="s">
        <v>1402</v>
      </c>
      <c r="K625" s="2">
        <v>37.464777791639797</v>
      </c>
      <c r="L625" s="2">
        <v>38.579525999957703</v>
      </c>
      <c r="M625" s="2">
        <v>59.735074969738001</v>
      </c>
    </row>
    <row r="626" spans="1:13" x14ac:dyDescent="0.2">
      <c r="A626" s="2" t="s">
        <v>1361</v>
      </c>
      <c r="B626" s="2">
        <v>25</v>
      </c>
      <c r="C626" s="2">
        <v>5</v>
      </c>
      <c r="D626" s="2">
        <v>1</v>
      </c>
      <c r="E626" s="2">
        <v>1</v>
      </c>
      <c r="F626" s="2">
        <v>1.74788612499833</v>
      </c>
      <c r="G626" s="2" t="s">
        <v>1403</v>
      </c>
      <c r="H626" s="2" t="s">
        <v>1142</v>
      </c>
      <c r="I626" s="2" t="s">
        <v>16</v>
      </c>
      <c r="J626" s="2" t="s">
        <v>1404</v>
      </c>
      <c r="K626" s="2">
        <v>38.581479166634402</v>
      </c>
      <c r="L626" s="2">
        <v>40.329377041664003</v>
      </c>
      <c r="M626" s="2">
        <v>59.735074969738001</v>
      </c>
    </row>
    <row r="627" spans="1:13" x14ac:dyDescent="0.2">
      <c r="A627" s="2" t="s">
        <v>1361</v>
      </c>
      <c r="B627" s="2">
        <v>26</v>
      </c>
      <c r="C627" s="2">
        <v>10</v>
      </c>
      <c r="D627" s="2">
        <v>1</v>
      </c>
      <c r="E627" s="2">
        <v>1</v>
      </c>
      <c r="F627" s="2">
        <v>1.37979483336676</v>
      </c>
      <c r="G627" s="2" t="s">
        <v>1405</v>
      </c>
      <c r="H627" s="2" t="s">
        <v>915</v>
      </c>
      <c r="I627" s="2" t="s">
        <v>16</v>
      </c>
      <c r="J627" s="2" t="s">
        <v>1406</v>
      </c>
      <c r="K627" s="2">
        <v>40.332895708270399</v>
      </c>
      <c r="L627" s="2">
        <v>41.712704416597298</v>
      </c>
      <c r="M627" s="2">
        <v>59.735074969738001</v>
      </c>
    </row>
    <row r="628" spans="1:13" x14ac:dyDescent="0.2">
      <c r="A628" s="2" t="s">
        <v>1361</v>
      </c>
      <c r="B628" s="2">
        <v>27</v>
      </c>
      <c r="C628" s="2">
        <v>5</v>
      </c>
      <c r="D628" s="2">
        <v>1</v>
      </c>
      <c r="E628" s="2">
        <v>1</v>
      </c>
      <c r="F628" s="2">
        <v>1.8148999999975799</v>
      </c>
      <c r="G628" s="2" t="s">
        <v>571</v>
      </c>
      <c r="H628" s="2" t="s">
        <v>709</v>
      </c>
      <c r="I628" s="2" t="s">
        <v>16</v>
      </c>
      <c r="J628" s="2" t="s">
        <v>1407</v>
      </c>
      <c r="K628" s="2">
        <v>41.714666125015398</v>
      </c>
      <c r="L628" s="2">
        <v>43.529577833251103</v>
      </c>
      <c r="M628" s="2">
        <v>59.735074969738001</v>
      </c>
    </row>
    <row r="629" spans="1:13" x14ac:dyDescent="0.2">
      <c r="A629" s="2" t="s">
        <v>1361</v>
      </c>
      <c r="B629" s="2">
        <v>28</v>
      </c>
      <c r="C629" s="2">
        <v>10</v>
      </c>
      <c r="D629" s="2">
        <v>1</v>
      </c>
      <c r="E629" s="2">
        <v>1</v>
      </c>
      <c r="F629" s="2">
        <v>1.9128090000012901</v>
      </c>
      <c r="G629" s="2" t="s">
        <v>1408</v>
      </c>
      <c r="H629" s="2" t="s">
        <v>411</v>
      </c>
      <c r="I629" s="2" t="s">
        <v>16</v>
      </c>
      <c r="J629" s="2" t="s">
        <v>1409</v>
      </c>
      <c r="K629" s="2">
        <v>43.533172583323903</v>
      </c>
      <c r="L629" s="2">
        <v>45.4459941666573</v>
      </c>
      <c r="M629" s="2">
        <v>59.735074969738001</v>
      </c>
    </row>
    <row r="630" spans="1:13" x14ac:dyDescent="0.2">
      <c r="A630" s="2" t="s">
        <v>1361</v>
      </c>
      <c r="B630" s="2">
        <v>29</v>
      </c>
      <c r="C630" s="2">
        <v>10</v>
      </c>
      <c r="D630" s="2">
        <v>1</v>
      </c>
      <c r="E630" s="2">
        <v>1</v>
      </c>
      <c r="F630" s="2">
        <v>1.9637803332880099</v>
      </c>
      <c r="G630" s="2" t="s">
        <v>398</v>
      </c>
      <c r="H630" s="2" t="s">
        <v>459</v>
      </c>
      <c r="I630" s="2" t="s">
        <v>16</v>
      </c>
      <c r="J630" s="2" t="s">
        <v>1410</v>
      </c>
      <c r="K630" s="2">
        <v>45.449646208318903</v>
      </c>
      <c r="L630" s="2">
        <v>47.413438208284802</v>
      </c>
      <c r="M630" s="2">
        <v>59.735074969738001</v>
      </c>
    </row>
    <row r="631" spans="1:13" x14ac:dyDescent="0.2">
      <c r="A631" s="2" t="s">
        <v>1361</v>
      </c>
      <c r="B631" s="2">
        <v>30</v>
      </c>
      <c r="C631" s="2">
        <v>5</v>
      </c>
      <c r="D631" s="2">
        <v>1</v>
      </c>
      <c r="E631" s="2">
        <v>1</v>
      </c>
      <c r="F631" s="2">
        <v>1.21417829173151</v>
      </c>
      <c r="G631" s="2" t="s">
        <v>337</v>
      </c>
      <c r="H631" s="2" t="s">
        <v>1411</v>
      </c>
      <c r="I631" s="2" t="s">
        <v>16</v>
      </c>
      <c r="J631" s="2" t="s">
        <v>1412</v>
      </c>
      <c r="K631" s="2">
        <v>47.415256333304598</v>
      </c>
      <c r="L631" s="2">
        <v>48.629445749917103</v>
      </c>
      <c r="M631" s="2">
        <v>59.735074969738001</v>
      </c>
    </row>
    <row r="632" spans="1:13" x14ac:dyDescent="0.2">
      <c r="A632" s="2" t="s">
        <v>1361</v>
      </c>
      <c r="B632" s="2">
        <v>31</v>
      </c>
      <c r="C632" s="2">
        <v>5</v>
      </c>
      <c r="D632" s="2">
        <v>1</v>
      </c>
      <c r="E632" s="2">
        <v>1</v>
      </c>
      <c r="F632" s="2">
        <v>1.4149340000003601</v>
      </c>
      <c r="G632" s="2" t="s">
        <v>1413</v>
      </c>
      <c r="H632" s="2" t="s">
        <v>366</v>
      </c>
      <c r="I632" s="2" t="s">
        <v>16</v>
      </c>
      <c r="J632" s="2" t="s">
        <v>1414</v>
      </c>
      <c r="K632" s="2">
        <v>48.631289499928201</v>
      </c>
      <c r="L632" s="2">
        <v>50.0462342082756</v>
      </c>
      <c r="M632" s="2">
        <v>59.735074969738001</v>
      </c>
    </row>
    <row r="633" spans="1:13" x14ac:dyDescent="0.2">
      <c r="A633" s="2" t="s">
        <v>1361</v>
      </c>
      <c r="B633" s="2">
        <v>32</v>
      </c>
      <c r="C633" s="2">
        <v>5</v>
      </c>
      <c r="D633" s="2">
        <v>1</v>
      </c>
      <c r="E633" s="2">
        <v>1</v>
      </c>
      <c r="F633" s="2">
        <v>1.2481510000070599</v>
      </c>
      <c r="G633" s="2" t="s">
        <v>954</v>
      </c>
      <c r="H633" s="2" t="s">
        <v>633</v>
      </c>
      <c r="I633" s="2" t="s">
        <v>16</v>
      </c>
      <c r="J633" s="2" t="s">
        <v>1415</v>
      </c>
      <c r="K633" s="2">
        <v>50.048084874986699</v>
      </c>
      <c r="L633" s="2">
        <v>51.296249541686898</v>
      </c>
      <c r="M633" s="2">
        <v>59.735074969738001</v>
      </c>
    </row>
    <row r="634" spans="1:13" x14ac:dyDescent="0.2">
      <c r="A634" s="2" t="s">
        <v>1361</v>
      </c>
      <c r="B634" s="2">
        <v>33</v>
      </c>
      <c r="C634" s="2">
        <v>10</v>
      </c>
      <c r="D634" s="2">
        <v>1</v>
      </c>
      <c r="E634" s="2">
        <v>1</v>
      </c>
      <c r="F634" s="2">
        <v>1.5297428333433301</v>
      </c>
      <c r="G634" s="2" t="s">
        <v>945</v>
      </c>
      <c r="H634" s="2" t="s">
        <v>1400</v>
      </c>
      <c r="I634" s="2" t="s">
        <v>16</v>
      </c>
      <c r="J634" s="2" t="s">
        <v>1416</v>
      </c>
      <c r="K634" s="2">
        <v>51.299749791622197</v>
      </c>
      <c r="L634" s="2">
        <v>52.829506416688702</v>
      </c>
      <c r="M634" s="2">
        <v>59.735074969738001</v>
      </c>
    </row>
    <row r="635" spans="1:13" x14ac:dyDescent="0.2">
      <c r="A635" s="2" t="s">
        <v>1361</v>
      </c>
      <c r="B635" s="2">
        <v>34</v>
      </c>
      <c r="C635" s="2">
        <v>5</v>
      </c>
      <c r="D635" s="2">
        <v>1</v>
      </c>
      <c r="E635" s="2">
        <v>1</v>
      </c>
      <c r="F635" s="2">
        <v>1.1313895416678901</v>
      </c>
      <c r="G635" s="2" t="s">
        <v>133</v>
      </c>
      <c r="H635" s="2" t="s">
        <v>368</v>
      </c>
      <c r="I635" s="2" t="s">
        <v>16</v>
      </c>
      <c r="J635" s="2" t="s">
        <v>1417</v>
      </c>
      <c r="K635" s="2">
        <v>52.831420583301202</v>
      </c>
      <c r="L635" s="2">
        <v>53.962821749970303</v>
      </c>
      <c r="M635" s="2">
        <v>59.735074969738001</v>
      </c>
    </row>
    <row r="636" spans="1:13" x14ac:dyDescent="0.2">
      <c r="A636" s="2" t="s">
        <v>1361</v>
      </c>
      <c r="B636" s="2">
        <v>35</v>
      </c>
      <c r="C636" s="2">
        <v>5</v>
      </c>
      <c r="D636" s="2">
        <v>1</v>
      </c>
      <c r="E636" s="2">
        <v>1</v>
      </c>
      <c r="F636" s="2">
        <v>1.0482830416876801</v>
      </c>
      <c r="G636" s="2" t="s">
        <v>1418</v>
      </c>
      <c r="H636" s="2" t="s">
        <v>1088</v>
      </c>
      <c r="I636" s="2" t="s">
        <v>16</v>
      </c>
      <c r="J636" s="2" t="s">
        <v>1419</v>
      </c>
      <c r="K636" s="2">
        <v>53.964619208360098</v>
      </c>
      <c r="L636" s="2">
        <v>55.012914750026503</v>
      </c>
      <c r="M636" s="2">
        <v>59.735074969738001</v>
      </c>
    </row>
    <row r="637" spans="1:13" x14ac:dyDescent="0.2">
      <c r="A637" s="2" t="s">
        <v>1361</v>
      </c>
      <c r="B637" s="2">
        <v>36</v>
      </c>
      <c r="C637" s="2">
        <v>5</v>
      </c>
      <c r="D637" s="2">
        <v>1</v>
      </c>
      <c r="E637" s="2">
        <v>1</v>
      </c>
      <c r="F637" s="2">
        <v>1.88131491665263</v>
      </c>
      <c r="G637" s="2" t="s">
        <v>819</v>
      </c>
      <c r="H637" s="2" t="s">
        <v>1420</v>
      </c>
      <c r="I637" s="2" t="s">
        <v>16</v>
      </c>
      <c r="J637" s="2" t="s">
        <v>1421</v>
      </c>
      <c r="K637" s="2">
        <v>55.014826499973402</v>
      </c>
      <c r="L637" s="2">
        <v>56.8961520832963</v>
      </c>
      <c r="M637" s="2">
        <v>59.735074969738001</v>
      </c>
    </row>
    <row r="638" spans="1:13" x14ac:dyDescent="0.2">
      <c r="A638" s="2" t="s">
        <v>1361</v>
      </c>
      <c r="B638" s="2">
        <v>37</v>
      </c>
      <c r="C638" s="2">
        <v>5</v>
      </c>
      <c r="D638" s="2">
        <v>1</v>
      </c>
      <c r="E638" s="2">
        <v>1</v>
      </c>
      <c r="F638" s="2">
        <v>1.24815175007097</v>
      </c>
      <c r="G638" s="2" t="s">
        <v>958</v>
      </c>
      <c r="H638" s="2" t="s">
        <v>1422</v>
      </c>
      <c r="I638" s="2" t="s">
        <v>16</v>
      </c>
      <c r="J638" s="2" t="s">
        <v>1423</v>
      </c>
      <c r="K638" s="2">
        <v>56.898011624929502</v>
      </c>
      <c r="L638" s="2">
        <v>58.1461758333026</v>
      </c>
      <c r="M638" s="2">
        <v>59.735074969738001</v>
      </c>
    </row>
    <row r="639" spans="1:13" x14ac:dyDescent="0.2">
      <c r="A639" s="2" t="s">
        <v>1361</v>
      </c>
      <c r="B639" s="2">
        <v>38</v>
      </c>
      <c r="C639" s="2">
        <v>10</v>
      </c>
      <c r="D639" s="2">
        <v>1</v>
      </c>
      <c r="E639" s="2">
        <v>1</v>
      </c>
      <c r="F639" s="2">
        <v>1.09641966666095</v>
      </c>
      <c r="G639" s="2" t="s">
        <v>186</v>
      </c>
      <c r="H639" s="2" t="s">
        <v>1424</v>
      </c>
      <c r="I639" s="2" t="s">
        <v>16</v>
      </c>
      <c r="J639" s="2" t="s">
        <v>1425</v>
      </c>
      <c r="K639" s="2">
        <v>58.149651208310402</v>
      </c>
      <c r="L639" s="2">
        <v>59.246082249912398</v>
      </c>
      <c r="M639" s="2">
        <v>59.735074969738001</v>
      </c>
    </row>
    <row r="640" spans="1:13" x14ac:dyDescent="0.2">
      <c r="A640" s="2" t="s">
        <v>1361</v>
      </c>
      <c r="B640" s="2">
        <v>39</v>
      </c>
      <c r="C640" s="2">
        <v>5</v>
      </c>
      <c r="D640" s="2">
        <v>1</v>
      </c>
      <c r="E640" s="2">
        <v>1</v>
      </c>
      <c r="F640" s="2">
        <v>1.7818192084087101</v>
      </c>
      <c r="G640" s="2" t="s">
        <v>871</v>
      </c>
      <c r="H640" s="2" t="s">
        <v>526</v>
      </c>
      <c r="I640" s="2" t="s">
        <v>16</v>
      </c>
      <c r="J640" s="2" t="s">
        <v>1426</v>
      </c>
      <c r="K640" s="2">
        <v>59.248089333297699</v>
      </c>
      <c r="L640" s="2">
        <v>61.029931625002099</v>
      </c>
      <c r="M640" s="2">
        <v>59.735074969738001</v>
      </c>
    </row>
    <row r="641" spans="1:13" x14ac:dyDescent="0.2">
      <c r="A641" s="2" t="s">
        <v>1361</v>
      </c>
      <c r="B641" s="2">
        <v>40</v>
      </c>
      <c r="C641" s="2">
        <v>10</v>
      </c>
      <c r="D641" s="2">
        <v>1</v>
      </c>
      <c r="E641" s="2">
        <v>1</v>
      </c>
      <c r="F641" s="2">
        <v>1.2451613750308801</v>
      </c>
      <c r="G641" s="2" t="s">
        <v>423</v>
      </c>
      <c r="H641" s="2" t="s">
        <v>1427</v>
      </c>
      <c r="I641" s="2" t="s">
        <v>16</v>
      </c>
      <c r="J641" s="2" t="s">
        <v>1428</v>
      </c>
      <c r="K641" s="2">
        <v>61.034274416626403</v>
      </c>
      <c r="L641" s="2">
        <v>62.2794472916285</v>
      </c>
      <c r="M641" s="2">
        <v>59.735074969738001</v>
      </c>
    </row>
    <row r="642" spans="1:13" x14ac:dyDescent="0.2">
      <c r="A642" s="2" t="s">
        <v>1361</v>
      </c>
      <c r="B642" s="2">
        <v>41</v>
      </c>
      <c r="C642" s="2">
        <v>10</v>
      </c>
      <c r="D642" s="2">
        <v>1</v>
      </c>
      <c r="E642" s="2">
        <v>1</v>
      </c>
      <c r="F642" s="2">
        <v>1.17974674992729</v>
      </c>
      <c r="G642" s="2" t="s">
        <v>1429</v>
      </c>
      <c r="H642" s="2" t="s">
        <v>1408</v>
      </c>
      <c r="I642" s="2" t="s">
        <v>16</v>
      </c>
      <c r="J642" s="2" t="s">
        <v>1430</v>
      </c>
      <c r="K642" s="2">
        <v>62.283019499969697</v>
      </c>
      <c r="L642" s="2">
        <v>63.4627789999358</v>
      </c>
      <c r="M642" s="2">
        <v>59.735074969738001</v>
      </c>
    </row>
    <row r="643" spans="1:13" x14ac:dyDescent="0.2">
      <c r="A643" s="2" t="s">
        <v>1361</v>
      </c>
      <c r="B643" s="2">
        <v>42</v>
      </c>
      <c r="C643" s="2">
        <v>10</v>
      </c>
      <c r="D643" s="2">
        <v>1</v>
      </c>
      <c r="E643" s="2">
        <v>1</v>
      </c>
      <c r="F643" s="2">
        <v>1.34653300000355</v>
      </c>
      <c r="G643" s="2" t="s">
        <v>802</v>
      </c>
      <c r="H643" s="2" t="s">
        <v>1431</v>
      </c>
      <c r="I643" s="2" t="s">
        <v>16</v>
      </c>
      <c r="J643" s="2" t="s">
        <v>1432</v>
      </c>
      <c r="K643" s="2">
        <v>63.466224874951898</v>
      </c>
      <c r="L643" s="2">
        <v>64.812783416593504</v>
      </c>
      <c r="M643" s="2">
        <v>59.735074969738001</v>
      </c>
    </row>
    <row r="644" spans="1:13" x14ac:dyDescent="0.2">
      <c r="A644" s="2" t="s">
        <v>1361</v>
      </c>
      <c r="B644" s="2">
        <v>43</v>
      </c>
      <c r="C644" s="2">
        <v>5</v>
      </c>
      <c r="D644" s="2">
        <v>1</v>
      </c>
      <c r="E644" s="2">
        <v>1</v>
      </c>
      <c r="F644" s="2">
        <v>1.14841229165904</v>
      </c>
      <c r="G644" s="2" t="s">
        <v>96</v>
      </c>
      <c r="H644" s="2" t="s">
        <v>1433</v>
      </c>
      <c r="I644" s="2" t="s">
        <v>16</v>
      </c>
      <c r="J644" s="2" t="s">
        <v>1434</v>
      </c>
      <c r="K644" s="2">
        <v>64.814763666596306</v>
      </c>
      <c r="L644" s="2">
        <v>65.963187583256499</v>
      </c>
      <c r="M644" s="2">
        <v>59.735074969738001</v>
      </c>
    </row>
    <row r="645" spans="1:13" x14ac:dyDescent="0.2">
      <c r="A645" s="2" t="s">
        <v>1361</v>
      </c>
      <c r="B645" s="2">
        <v>44</v>
      </c>
      <c r="C645" s="2">
        <v>5</v>
      </c>
      <c r="D645" s="2">
        <v>2</v>
      </c>
      <c r="E645" s="2">
        <v>0</v>
      </c>
      <c r="F645" s="2">
        <v>2.1145329583669099</v>
      </c>
      <c r="G645" s="2" t="s">
        <v>1435</v>
      </c>
      <c r="H645" s="2" t="s">
        <v>1436</v>
      </c>
      <c r="I645" s="2" t="s">
        <v>23</v>
      </c>
      <c r="J645" s="2" t="s">
        <v>1437</v>
      </c>
      <c r="K645" s="2">
        <v>65.964994833339006</v>
      </c>
      <c r="L645" s="2">
        <v>68.079542250023195</v>
      </c>
      <c r="M645" s="2">
        <v>59.735074969738001</v>
      </c>
    </row>
    <row r="646" spans="1:13" x14ac:dyDescent="0.2">
      <c r="A646" s="2" t="s">
        <v>1361</v>
      </c>
      <c r="B646" s="2">
        <v>45</v>
      </c>
      <c r="C646" s="2">
        <v>5</v>
      </c>
      <c r="D646" s="2">
        <v>1</v>
      </c>
      <c r="E646" s="2">
        <v>1</v>
      </c>
      <c r="F646" s="2">
        <v>1.63178866670933</v>
      </c>
      <c r="G646" s="2" t="s">
        <v>827</v>
      </c>
      <c r="H646" s="2" t="s">
        <v>866</v>
      </c>
      <c r="I646" s="2" t="s">
        <v>16</v>
      </c>
      <c r="J646" s="2" t="s">
        <v>1438</v>
      </c>
      <c r="K646" s="2">
        <v>68.081597083248198</v>
      </c>
      <c r="L646" s="2">
        <v>69.713398166582905</v>
      </c>
      <c r="M646" s="2">
        <v>59.735074969738001</v>
      </c>
    </row>
    <row r="647" spans="1:13" x14ac:dyDescent="0.2">
      <c r="A647" s="2" t="s">
        <v>1361</v>
      </c>
      <c r="B647" s="2">
        <v>46</v>
      </c>
      <c r="C647" s="2">
        <v>10</v>
      </c>
      <c r="D647" s="2">
        <v>1</v>
      </c>
      <c r="E647" s="2">
        <v>1</v>
      </c>
      <c r="F647" s="2">
        <v>1.96254020836204</v>
      </c>
      <c r="G647" s="2" t="s">
        <v>452</v>
      </c>
      <c r="H647" s="2" t="s">
        <v>1237</v>
      </c>
      <c r="I647" s="2" t="s">
        <v>16</v>
      </c>
      <c r="J647" s="2" t="s">
        <v>1439</v>
      </c>
      <c r="K647" s="2">
        <v>69.717031416599596</v>
      </c>
      <c r="L647" s="2">
        <v>71.679586124955705</v>
      </c>
      <c r="M647" s="2">
        <v>59.735074969738001</v>
      </c>
    </row>
    <row r="648" spans="1:13" x14ac:dyDescent="0.2">
      <c r="A648" s="2" t="s">
        <v>1361</v>
      </c>
      <c r="B648" s="2">
        <v>47</v>
      </c>
      <c r="C648" s="2">
        <v>10</v>
      </c>
      <c r="D648" s="2">
        <v>1</v>
      </c>
      <c r="E648" s="2">
        <v>1</v>
      </c>
      <c r="F648" s="2">
        <v>1.0127121666446299</v>
      </c>
      <c r="G648" s="2" t="s">
        <v>1398</v>
      </c>
      <c r="H648" s="2" t="s">
        <v>599</v>
      </c>
      <c r="I648" s="2" t="s">
        <v>16</v>
      </c>
      <c r="J648" s="2" t="s">
        <v>1440</v>
      </c>
      <c r="K648" s="2">
        <v>71.683162833331195</v>
      </c>
      <c r="L648" s="2">
        <v>72.695889083319301</v>
      </c>
      <c r="M648" s="2">
        <v>59.735074969738001</v>
      </c>
    </row>
    <row r="649" spans="1:13" x14ac:dyDescent="0.2">
      <c r="A649" s="2" t="s">
        <v>1361</v>
      </c>
      <c r="B649" s="2">
        <v>48</v>
      </c>
      <c r="C649" s="2">
        <v>10</v>
      </c>
      <c r="D649" s="2">
        <v>1</v>
      </c>
      <c r="E649" s="2">
        <v>1</v>
      </c>
      <c r="F649" s="2">
        <v>1.7301128333201601</v>
      </c>
      <c r="G649" s="2" t="s">
        <v>164</v>
      </c>
      <c r="H649" s="2" t="s">
        <v>1400</v>
      </c>
      <c r="I649" s="2" t="s">
        <v>16</v>
      </c>
      <c r="J649" s="2" t="s">
        <v>1441</v>
      </c>
      <c r="K649" s="2">
        <v>72.699497124995105</v>
      </c>
      <c r="L649" s="2">
        <v>74.429622083320297</v>
      </c>
      <c r="M649" s="2">
        <v>59.735074969738001</v>
      </c>
    </row>
    <row r="650" spans="1:13" x14ac:dyDescent="0.2">
      <c r="A650" s="2" t="s">
        <v>1361</v>
      </c>
      <c r="B650" s="2">
        <v>49</v>
      </c>
      <c r="C650" s="2">
        <v>10</v>
      </c>
      <c r="D650" s="2">
        <v>1</v>
      </c>
      <c r="E650" s="2">
        <v>1</v>
      </c>
      <c r="F650" s="2">
        <v>1.2631792916217801</v>
      </c>
      <c r="G650" s="2" t="s">
        <v>219</v>
      </c>
      <c r="H650" s="2" t="s">
        <v>1299</v>
      </c>
      <c r="I650" s="2" t="s">
        <v>16</v>
      </c>
      <c r="J650" s="2" t="s">
        <v>1442</v>
      </c>
      <c r="K650" s="2">
        <v>74.433022374985697</v>
      </c>
      <c r="L650" s="2">
        <v>75.696215374977299</v>
      </c>
      <c r="M650" s="2">
        <v>59.735074969738001</v>
      </c>
    </row>
    <row r="651" spans="1:13" x14ac:dyDescent="0.2">
      <c r="A651" s="2" t="s">
        <v>1361</v>
      </c>
      <c r="B651" s="2">
        <v>50</v>
      </c>
      <c r="C651" s="2">
        <v>10</v>
      </c>
      <c r="D651" s="2">
        <v>1</v>
      </c>
      <c r="E651" s="2">
        <v>1</v>
      </c>
      <c r="F651" s="2">
        <v>1.22983241663314</v>
      </c>
      <c r="G651" s="2" t="s">
        <v>1443</v>
      </c>
      <c r="H651" s="2" t="s">
        <v>342</v>
      </c>
      <c r="I651" s="2" t="s">
        <v>16</v>
      </c>
      <c r="J651" s="2" t="s">
        <v>1444</v>
      </c>
      <c r="K651" s="2">
        <v>75.699628916685498</v>
      </c>
      <c r="L651" s="2">
        <v>76.9294744166546</v>
      </c>
      <c r="M651" s="2">
        <v>59.735074969738001</v>
      </c>
    </row>
    <row r="652" spans="1:13" x14ac:dyDescent="0.2">
      <c r="A652" s="2" t="s">
        <v>1361</v>
      </c>
      <c r="B652" s="2">
        <v>51</v>
      </c>
      <c r="C652" s="2">
        <v>5</v>
      </c>
      <c r="D652" s="2">
        <v>2</v>
      </c>
      <c r="E652" s="2">
        <v>0</v>
      </c>
      <c r="F652" s="2">
        <v>1.5481764166615899</v>
      </c>
      <c r="G652" s="2" t="s">
        <v>1445</v>
      </c>
      <c r="H652" s="2" t="s">
        <v>1446</v>
      </c>
      <c r="I652" s="2" t="s">
        <v>23</v>
      </c>
      <c r="J652" s="2" t="s">
        <v>1447</v>
      </c>
      <c r="K652" s="2">
        <v>76.931285666651107</v>
      </c>
      <c r="L652" s="2">
        <v>78.479472708306304</v>
      </c>
      <c r="M652" s="2">
        <v>59.735074969738001</v>
      </c>
    </row>
    <row r="653" spans="1:13" x14ac:dyDescent="0.2">
      <c r="A653" s="2" t="s">
        <v>1361</v>
      </c>
      <c r="B653" s="2">
        <v>52</v>
      </c>
      <c r="C653" s="2">
        <v>10</v>
      </c>
      <c r="D653" s="2">
        <v>1</v>
      </c>
      <c r="E653" s="2">
        <v>1</v>
      </c>
      <c r="F653" s="2">
        <v>2.08010020828806</v>
      </c>
      <c r="G653" s="2" t="s">
        <v>219</v>
      </c>
      <c r="H653" s="2" t="s">
        <v>851</v>
      </c>
      <c r="I653" s="2" t="s">
        <v>16</v>
      </c>
      <c r="J653" s="2" t="s">
        <v>1448</v>
      </c>
      <c r="K653" s="2">
        <v>78.482903250027505</v>
      </c>
      <c r="L653" s="2">
        <v>80.563023875001804</v>
      </c>
      <c r="M653" s="2">
        <v>59.735074969738001</v>
      </c>
    </row>
    <row r="654" spans="1:13" x14ac:dyDescent="0.2">
      <c r="A654" s="2" t="s">
        <v>1361</v>
      </c>
      <c r="B654" s="2">
        <v>53</v>
      </c>
      <c r="C654" s="2">
        <v>5</v>
      </c>
      <c r="D654" s="2">
        <v>1</v>
      </c>
      <c r="E654" s="2">
        <v>1</v>
      </c>
      <c r="F654" s="2">
        <v>2.31459220824763</v>
      </c>
      <c r="G654" s="2" t="s">
        <v>1449</v>
      </c>
      <c r="H654" s="2" t="s">
        <v>653</v>
      </c>
      <c r="I654" s="2" t="s">
        <v>16</v>
      </c>
      <c r="J654" s="2" t="s">
        <v>1450</v>
      </c>
      <c r="K654" s="2">
        <v>80.564946833299501</v>
      </c>
      <c r="L654" s="2">
        <v>82.879553249920704</v>
      </c>
      <c r="M654" s="2">
        <v>59.735074969738001</v>
      </c>
    </row>
    <row r="655" spans="1:13" x14ac:dyDescent="0.2">
      <c r="A655" s="2" t="s">
        <v>1361</v>
      </c>
      <c r="B655" s="2">
        <v>54</v>
      </c>
      <c r="C655" s="2">
        <v>10</v>
      </c>
      <c r="D655" s="2">
        <v>1</v>
      </c>
      <c r="E655" s="2">
        <v>1</v>
      </c>
      <c r="F655" s="2">
        <v>1.2129875416867399</v>
      </c>
      <c r="G655" s="2" t="s">
        <v>868</v>
      </c>
      <c r="H655" s="2" t="s">
        <v>514</v>
      </c>
      <c r="I655" s="2" t="s">
        <v>16</v>
      </c>
      <c r="J655" s="2" t="s">
        <v>1451</v>
      </c>
      <c r="K655" s="2">
        <v>82.883167916676001</v>
      </c>
      <c r="L655" s="2">
        <v>84.096170041593695</v>
      </c>
      <c r="M655" s="2">
        <v>59.735074969738001</v>
      </c>
    </row>
    <row r="656" spans="1:13" x14ac:dyDescent="0.2">
      <c r="A656" s="2" t="s">
        <v>1361</v>
      </c>
      <c r="B656" s="2">
        <v>55</v>
      </c>
      <c r="C656" s="2">
        <v>10</v>
      </c>
      <c r="D656" s="2">
        <v>1</v>
      </c>
      <c r="E656" s="2">
        <v>1</v>
      </c>
      <c r="F656" s="2">
        <v>1.96332249999978</v>
      </c>
      <c r="G656" s="2" t="s">
        <v>890</v>
      </c>
      <c r="H656" s="2" t="s">
        <v>1046</v>
      </c>
      <c r="I656" s="2" t="s">
        <v>16</v>
      </c>
      <c r="J656" s="2" t="s">
        <v>1452</v>
      </c>
      <c r="K656" s="2">
        <v>84.099664625013304</v>
      </c>
      <c r="L656" s="2">
        <v>86.063008249970196</v>
      </c>
      <c r="M656" s="2">
        <v>59.735074969738001</v>
      </c>
    </row>
    <row r="657" spans="1:13" x14ac:dyDescent="0.2">
      <c r="A657" s="2" t="s">
        <v>1361</v>
      </c>
      <c r="B657" s="2">
        <v>56</v>
      </c>
      <c r="C657" s="2">
        <v>5</v>
      </c>
      <c r="D657" s="2">
        <v>1</v>
      </c>
      <c r="E657" s="2">
        <v>1</v>
      </c>
      <c r="F657" s="2">
        <v>1.1811293333303201</v>
      </c>
      <c r="G657" s="2" t="s">
        <v>1392</v>
      </c>
      <c r="H657" s="2" t="s">
        <v>1453</v>
      </c>
      <c r="I657" s="2" t="s">
        <v>16</v>
      </c>
      <c r="J657" s="2" t="s">
        <v>1454</v>
      </c>
      <c r="K657" s="2">
        <v>86.064978833310306</v>
      </c>
      <c r="L657" s="2">
        <v>87.246126124984599</v>
      </c>
      <c r="M657" s="2">
        <v>59.735074969738001</v>
      </c>
    </row>
    <row r="658" spans="1:13" x14ac:dyDescent="0.2">
      <c r="A658" s="2" t="s">
        <v>1361</v>
      </c>
      <c r="B658" s="2">
        <v>57</v>
      </c>
      <c r="C658" s="2">
        <v>5</v>
      </c>
      <c r="D658" s="2">
        <v>1</v>
      </c>
      <c r="E658" s="2">
        <v>1</v>
      </c>
      <c r="F658" s="2">
        <v>1.58143216662575</v>
      </c>
      <c r="G658" s="2" t="s">
        <v>219</v>
      </c>
      <c r="H658" s="2" t="s">
        <v>1455</v>
      </c>
      <c r="I658" s="2" t="s">
        <v>16</v>
      </c>
      <c r="J658" s="2" t="s">
        <v>1456</v>
      </c>
      <c r="K658" s="2">
        <v>87.248076291638398</v>
      </c>
      <c r="L658" s="2">
        <v>88.829521166626407</v>
      </c>
      <c r="M658" s="2">
        <v>59.735074969738001</v>
      </c>
    </row>
    <row r="659" spans="1:13" x14ac:dyDescent="0.2">
      <c r="A659" s="2" t="s">
        <v>1361</v>
      </c>
      <c r="B659" s="2">
        <v>58</v>
      </c>
      <c r="C659" s="2">
        <v>5</v>
      </c>
      <c r="D659" s="2">
        <v>1</v>
      </c>
      <c r="E659" s="2">
        <v>1</v>
      </c>
      <c r="F659" s="2">
        <v>1.1978711666306501</v>
      </c>
      <c r="G659" s="2" t="s">
        <v>977</v>
      </c>
      <c r="H659" s="2" t="s">
        <v>1290</v>
      </c>
      <c r="I659" s="2" t="s">
        <v>16</v>
      </c>
      <c r="J659" s="2" t="s">
        <v>1457</v>
      </c>
      <c r="K659" s="2">
        <v>88.831429083249503</v>
      </c>
      <c r="L659" s="2">
        <v>90.029311791644403</v>
      </c>
      <c r="M659" s="2">
        <v>59.735074969738001</v>
      </c>
    </row>
    <row r="660" spans="1:13" x14ac:dyDescent="0.2">
      <c r="A660" s="2" t="s">
        <v>1361</v>
      </c>
      <c r="B660" s="2">
        <v>59</v>
      </c>
      <c r="C660" s="2">
        <v>10</v>
      </c>
      <c r="D660" s="2">
        <v>1</v>
      </c>
      <c r="E660" s="2">
        <v>1</v>
      </c>
      <c r="F660" s="2">
        <v>1.1798765416024299</v>
      </c>
      <c r="G660" s="2" t="s">
        <v>1458</v>
      </c>
      <c r="H660" s="2" t="s">
        <v>1459</v>
      </c>
      <c r="I660" s="2" t="s">
        <v>16</v>
      </c>
      <c r="J660" s="2" t="s">
        <v>1460</v>
      </c>
      <c r="K660" s="2">
        <v>90.032827624934697</v>
      </c>
      <c r="L660" s="2">
        <v>91.212715249974295</v>
      </c>
      <c r="M660" s="2">
        <v>59.735074969738001</v>
      </c>
    </row>
    <row r="661" spans="1:13" x14ac:dyDescent="0.2">
      <c r="A661" s="2" t="s">
        <v>1361</v>
      </c>
      <c r="B661" s="2">
        <v>60</v>
      </c>
      <c r="C661" s="2">
        <v>10</v>
      </c>
      <c r="D661" s="2">
        <v>1</v>
      </c>
      <c r="E661" s="2">
        <v>1</v>
      </c>
      <c r="F661" s="2">
        <v>1.06334579165559</v>
      </c>
      <c r="G661" s="2" t="s">
        <v>1461</v>
      </c>
      <c r="H661" s="2" t="s">
        <v>64</v>
      </c>
      <c r="I661" s="2" t="s">
        <v>16</v>
      </c>
      <c r="J661" s="2" t="s">
        <v>1462</v>
      </c>
      <c r="K661" s="2">
        <v>91.216170541592902</v>
      </c>
      <c r="L661" s="2">
        <v>92.279531958280103</v>
      </c>
      <c r="M661" s="2">
        <v>59.735074969738001</v>
      </c>
    </row>
    <row r="662" spans="1:13" x14ac:dyDescent="0.2">
      <c r="A662" s="2" t="s">
        <v>1361</v>
      </c>
      <c r="B662" s="2">
        <v>61</v>
      </c>
      <c r="C662" s="2">
        <v>5</v>
      </c>
      <c r="D662" s="2">
        <v>1</v>
      </c>
      <c r="E662" s="2">
        <v>1</v>
      </c>
      <c r="F662" s="2">
        <v>1.2645327916834499</v>
      </c>
      <c r="G662" s="2" t="s">
        <v>85</v>
      </c>
      <c r="H662" s="2" t="s">
        <v>1463</v>
      </c>
      <c r="I662" s="2" t="s">
        <v>16</v>
      </c>
      <c r="J662" s="2" t="s">
        <v>1464</v>
      </c>
      <c r="K662" s="2">
        <v>92.281509416643502</v>
      </c>
      <c r="L662" s="2">
        <v>93.546058374922694</v>
      </c>
      <c r="M662" s="2">
        <v>59.735074969738001</v>
      </c>
    </row>
    <row r="663" spans="1:13" x14ac:dyDescent="0.2">
      <c r="A663" s="2" t="s">
        <v>1361</v>
      </c>
      <c r="B663" s="2">
        <v>62</v>
      </c>
      <c r="C663" s="2">
        <v>10</v>
      </c>
      <c r="D663" s="2">
        <v>1</v>
      </c>
      <c r="E663" s="2">
        <v>1</v>
      </c>
      <c r="F663" s="2">
        <v>1.46315024991054</v>
      </c>
      <c r="G663" s="2" t="s">
        <v>885</v>
      </c>
      <c r="H663" s="2" t="s">
        <v>1465</v>
      </c>
      <c r="I663" s="2" t="s">
        <v>16</v>
      </c>
      <c r="J663" s="2" t="s">
        <v>1466</v>
      </c>
      <c r="K663" s="2">
        <v>93.549654125003102</v>
      </c>
      <c r="L663" s="2">
        <v>95.012817166629205</v>
      </c>
      <c r="M663" s="2">
        <v>59.735074969738001</v>
      </c>
    </row>
    <row r="664" spans="1:13" x14ac:dyDescent="0.2">
      <c r="A664" s="2" t="s">
        <v>1361</v>
      </c>
      <c r="B664" s="2">
        <v>63</v>
      </c>
      <c r="C664" s="2">
        <v>10</v>
      </c>
      <c r="D664" s="2">
        <v>1</v>
      </c>
      <c r="E664" s="2">
        <v>1</v>
      </c>
      <c r="F664" s="2">
        <v>1.36309816665016</v>
      </c>
      <c r="G664" s="2" t="s">
        <v>470</v>
      </c>
      <c r="H664" s="2" t="s">
        <v>1328</v>
      </c>
      <c r="I664" s="2" t="s">
        <v>16</v>
      </c>
      <c r="J664" s="2" t="s">
        <v>1467</v>
      </c>
      <c r="K664" s="2">
        <v>95.016324124997496</v>
      </c>
      <c r="L664" s="2">
        <v>96.379435166600203</v>
      </c>
      <c r="M664" s="2">
        <v>59.735074969738001</v>
      </c>
    </row>
    <row r="665" spans="1:13" x14ac:dyDescent="0.2">
      <c r="A665" s="2" t="s">
        <v>1361</v>
      </c>
      <c r="B665" s="2">
        <v>64</v>
      </c>
      <c r="C665" s="2">
        <v>5</v>
      </c>
      <c r="D665" s="2">
        <v>1</v>
      </c>
      <c r="E665" s="2">
        <v>1</v>
      </c>
      <c r="F665" s="2">
        <v>1.23148412501905</v>
      </c>
      <c r="G665" s="2" t="s">
        <v>1330</v>
      </c>
      <c r="H665" s="2" t="s">
        <v>505</v>
      </c>
      <c r="I665" s="2" t="s">
        <v>16</v>
      </c>
      <c r="J665" s="2" t="s">
        <v>1468</v>
      </c>
      <c r="K665" s="2">
        <v>96.381291791680297</v>
      </c>
      <c r="L665" s="2">
        <v>97.612789791659395</v>
      </c>
      <c r="M665" s="2">
        <v>59.735074969738001</v>
      </c>
    </row>
    <row r="666" spans="1:13" x14ac:dyDescent="0.2">
      <c r="A666" s="2" t="s">
        <v>1361</v>
      </c>
      <c r="B666" s="2">
        <v>65</v>
      </c>
      <c r="C666" s="2">
        <v>10</v>
      </c>
      <c r="D666" s="2">
        <v>1</v>
      </c>
      <c r="E666" s="2">
        <v>1</v>
      </c>
      <c r="F666" s="2">
        <v>1.62980291666463</v>
      </c>
      <c r="G666" s="2" t="s">
        <v>1469</v>
      </c>
      <c r="H666" s="2" t="s">
        <v>706</v>
      </c>
      <c r="I666" s="2" t="s">
        <v>16</v>
      </c>
      <c r="J666" s="2" t="s">
        <v>1470</v>
      </c>
      <c r="K666" s="2">
        <v>97.6163341249339</v>
      </c>
      <c r="L666" s="2">
        <v>99.246149749960793</v>
      </c>
      <c r="M666" s="2">
        <v>59.735074969738001</v>
      </c>
    </row>
    <row r="667" spans="1:13" x14ac:dyDescent="0.2">
      <c r="A667" s="2" t="s">
        <v>1361</v>
      </c>
      <c r="B667" s="2">
        <v>66</v>
      </c>
      <c r="C667" s="2">
        <v>5</v>
      </c>
      <c r="D667" s="2">
        <v>1</v>
      </c>
      <c r="E667" s="2">
        <v>1</v>
      </c>
      <c r="F667" s="2">
        <v>1.6314896249677999</v>
      </c>
      <c r="G667" s="2" t="s">
        <v>109</v>
      </c>
      <c r="H667" s="2" t="s">
        <v>1459</v>
      </c>
      <c r="I667" s="2" t="s">
        <v>16</v>
      </c>
      <c r="J667" s="2" t="s">
        <v>1471</v>
      </c>
      <c r="K667" s="2">
        <v>99.247997541679098</v>
      </c>
      <c r="L667" s="2">
        <v>100.879499875009</v>
      </c>
      <c r="M667" s="2">
        <v>59.735074969738001</v>
      </c>
    </row>
    <row r="668" spans="1:13" x14ac:dyDescent="0.2">
      <c r="A668" s="2" t="s">
        <v>1361</v>
      </c>
      <c r="B668" s="2">
        <v>67</v>
      </c>
      <c r="C668" s="2">
        <v>5</v>
      </c>
      <c r="D668" s="2">
        <v>1</v>
      </c>
      <c r="E668" s="2">
        <v>1</v>
      </c>
      <c r="F668" s="2">
        <v>1.3646895834244801</v>
      </c>
      <c r="G668" s="2" t="s">
        <v>871</v>
      </c>
      <c r="H668" s="2" t="s">
        <v>894</v>
      </c>
      <c r="I668" s="2" t="s">
        <v>16</v>
      </c>
      <c r="J668" s="2" t="s">
        <v>1472</v>
      </c>
      <c r="K668" s="2">
        <v>100.881320208311</v>
      </c>
      <c r="L668" s="2">
        <v>102.246023874963</v>
      </c>
      <c r="M668" s="2">
        <v>59.735074969738001</v>
      </c>
    </row>
    <row r="669" spans="1:13" x14ac:dyDescent="0.2">
      <c r="A669" s="2" t="s">
        <v>1361</v>
      </c>
      <c r="B669" s="2">
        <v>68</v>
      </c>
      <c r="C669" s="2">
        <v>10</v>
      </c>
      <c r="D669" s="2">
        <v>1</v>
      </c>
      <c r="E669" s="2">
        <v>1</v>
      </c>
      <c r="F669" s="2">
        <v>1.49640658334829</v>
      </c>
      <c r="G669" s="2" t="s">
        <v>251</v>
      </c>
      <c r="H669" s="2" t="s">
        <v>1473</v>
      </c>
      <c r="I669" s="2" t="s">
        <v>16</v>
      </c>
      <c r="J669" s="2" t="s">
        <v>1474</v>
      </c>
      <c r="K669" s="2">
        <v>102.249635958346</v>
      </c>
      <c r="L669" s="2">
        <v>103.74605591664999</v>
      </c>
      <c r="M669" s="2">
        <v>59.735074969738001</v>
      </c>
    </row>
    <row r="670" spans="1:13" x14ac:dyDescent="0.2">
      <c r="A670" s="2" t="s">
        <v>1361</v>
      </c>
      <c r="B670" s="2">
        <v>69</v>
      </c>
      <c r="C670" s="2">
        <v>10</v>
      </c>
      <c r="D670" s="2">
        <v>1</v>
      </c>
      <c r="E670" s="2">
        <v>1</v>
      </c>
      <c r="F670" s="2">
        <v>1.46286495833192</v>
      </c>
      <c r="G670" s="2" t="s">
        <v>726</v>
      </c>
      <c r="H670" s="2" t="s">
        <v>1459</v>
      </c>
      <c r="I670" s="2" t="s">
        <v>16</v>
      </c>
      <c r="J670" s="2" t="s">
        <v>1475</v>
      </c>
      <c r="K670" s="2">
        <v>103.749631458311</v>
      </c>
      <c r="L670" s="2">
        <v>105.212511249934</v>
      </c>
      <c r="M670" s="2">
        <v>59.735074969738001</v>
      </c>
    </row>
    <row r="671" spans="1:13" x14ac:dyDescent="0.2">
      <c r="A671" s="2" t="s">
        <v>1361</v>
      </c>
      <c r="B671" s="2">
        <v>70</v>
      </c>
      <c r="C671" s="2">
        <v>10</v>
      </c>
      <c r="D671" s="2">
        <v>1</v>
      </c>
      <c r="E671" s="2">
        <v>1</v>
      </c>
      <c r="F671" s="2">
        <v>1.21332979167346</v>
      </c>
      <c r="G671" s="2" t="s">
        <v>1132</v>
      </c>
      <c r="H671" s="2" t="s">
        <v>26</v>
      </c>
      <c r="I671" s="2" t="s">
        <v>16</v>
      </c>
      <c r="J671" s="2" t="s">
        <v>1476</v>
      </c>
      <c r="K671" s="2">
        <v>105.21610737498899</v>
      </c>
      <c r="L671" s="2">
        <v>106.429448749987</v>
      </c>
      <c r="M671" s="2">
        <v>59.735074969738001</v>
      </c>
    </row>
    <row r="672" spans="1:13" x14ac:dyDescent="0.2">
      <c r="A672" s="2" t="s">
        <v>1361</v>
      </c>
      <c r="B672" s="2">
        <v>71</v>
      </c>
      <c r="C672" s="2">
        <v>10</v>
      </c>
      <c r="D672" s="2">
        <v>1</v>
      </c>
      <c r="E672" s="2">
        <v>1</v>
      </c>
      <c r="F672" s="2">
        <v>1.94705679162871</v>
      </c>
      <c r="G672" s="2" t="s">
        <v>522</v>
      </c>
      <c r="H672" s="2" t="s">
        <v>640</v>
      </c>
      <c r="I672" s="2" t="s">
        <v>16</v>
      </c>
      <c r="J672" s="2" t="s">
        <v>1477</v>
      </c>
      <c r="K672" s="2">
        <v>106.43306166667</v>
      </c>
      <c r="L672" s="2">
        <v>108.38012995827</v>
      </c>
      <c r="M672" s="2">
        <v>59.735074969738001</v>
      </c>
    </row>
    <row r="673" spans="1:13" x14ac:dyDescent="0.2">
      <c r="A673" s="2" t="s">
        <v>1361</v>
      </c>
      <c r="B673" s="2">
        <v>72</v>
      </c>
      <c r="C673" s="2">
        <v>5</v>
      </c>
      <c r="D673" s="2">
        <v>1</v>
      </c>
      <c r="E673" s="2">
        <v>1</v>
      </c>
      <c r="F673" s="2">
        <v>1.3809170833555999</v>
      </c>
      <c r="G673" s="2" t="s">
        <v>434</v>
      </c>
      <c r="H673" s="2" t="s">
        <v>786</v>
      </c>
      <c r="I673" s="2" t="s">
        <v>16</v>
      </c>
      <c r="J673" s="2" t="s">
        <v>1478</v>
      </c>
      <c r="K673" s="2">
        <v>108.381984958309</v>
      </c>
      <c r="L673" s="2">
        <v>109.76291475002699</v>
      </c>
      <c r="M673" s="2">
        <v>59.735074969738001</v>
      </c>
    </row>
    <row r="674" spans="1:13" x14ac:dyDescent="0.2">
      <c r="A674" s="2" t="s">
        <v>1361</v>
      </c>
      <c r="B674" s="2">
        <v>73</v>
      </c>
      <c r="C674" s="2">
        <v>10</v>
      </c>
      <c r="D674" s="2">
        <v>1</v>
      </c>
      <c r="E674" s="2">
        <v>1</v>
      </c>
      <c r="F674" s="2">
        <v>1.0630622500320901</v>
      </c>
      <c r="G674" s="2" t="s">
        <v>750</v>
      </c>
      <c r="H674" s="2" t="s">
        <v>1199</v>
      </c>
      <c r="I674" s="2" t="s">
        <v>16</v>
      </c>
      <c r="J674" s="2" t="s">
        <v>1479</v>
      </c>
      <c r="K674" s="2">
        <v>109.766316583264</v>
      </c>
      <c r="L674" s="2">
        <v>110.82939174992499</v>
      </c>
      <c r="M674" s="2">
        <v>59.735074969738001</v>
      </c>
    </row>
    <row r="675" spans="1:13" x14ac:dyDescent="0.2">
      <c r="A675" s="2" t="s">
        <v>1361</v>
      </c>
      <c r="B675" s="2">
        <v>74</v>
      </c>
      <c r="C675" s="2">
        <v>10</v>
      </c>
      <c r="D675" s="2">
        <v>1</v>
      </c>
      <c r="E675" s="2">
        <v>1</v>
      </c>
      <c r="F675" s="2">
        <v>1.3294881666079199</v>
      </c>
      <c r="G675" s="2" t="s">
        <v>620</v>
      </c>
      <c r="H675" s="2" t="s">
        <v>1112</v>
      </c>
      <c r="I675" s="2" t="s">
        <v>16</v>
      </c>
      <c r="J675" s="2" t="s">
        <v>1480</v>
      </c>
      <c r="K675" s="2">
        <v>110.83295079169299</v>
      </c>
      <c r="L675" s="2">
        <v>112.162454833277</v>
      </c>
      <c r="M675" s="2">
        <v>59.735074969738001</v>
      </c>
    </row>
    <row r="676" spans="1:13" x14ac:dyDescent="0.2">
      <c r="A676" s="2" t="s">
        <v>1361</v>
      </c>
      <c r="B676" s="2">
        <v>75</v>
      </c>
      <c r="C676" s="2">
        <v>5</v>
      </c>
      <c r="D676" s="2">
        <v>1</v>
      </c>
      <c r="E676" s="2">
        <v>1</v>
      </c>
      <c r="F676" s="2">
        <v>1.1650835417676699</v>
      </c>
      <c r="G676" s="2" t="s">
        <v>942</v>
      </c>
      <c r="H676" s="2" t="s">
        <v>1117</v>
      </c>
      <c r="I676" s="2" t="s">
        <v>16</v>
      </c>
      <c r="J676" s="2" t="s">
        <v>1481</v>
      </c>
      <c r="K676" s="2">
        <v>112.16446383332401</v>
      </c>
      <c r="L676" s="2">
        <v>113.32956045831099</v>
      </c>
      <c r="M676" s="2">
        <v>59.735074969738001</v>
      </c>
    </row>
    <row r="677" spans="1:13" x14ac:dyDescent="0.2">
      <c r="A677" s="2" t="s">
        <v>1361</v>
      </c>
      <c r="B677" s="2">
        <v>76</v>
      </c>
      <c r="C677" s="2">
        <v>10</v>
      </c>
      <c r="D677" s="2">
        <v>1</v>
      </c>
      <c r="E677" s="2">
        <v>1</v>
      </c>
      <c r="F677" s="2">
        <v>1.8463072917657</v>
      </c>
      <c r="G677" s="2" t="s">
        <v>243</v>
      </c>
      <c r="H677" s="2" t="s">
        <v>1482</v>
      </c>
      <c r="I677" s="2" t="s">
        <v>16</v>
      </c>
      <c r="J677" s="2" t="s">
        <v>1483</v>
      </c>
      <c r="K677" s="2">
        <v>113.333076874958</v>
      </c>
      <c r="L677" s="2">
        <v>115.179395916639</v>
      </c>
      <c r="M677" s="2">
        <v>59.735074969738001</v>
      </c>
    </row>
    <row r="678" spans="1:13" x14ac:dyDescent="0.2">
      <c r="A678" s="2" t="s">
        <v>1361</v>
      </c>
      <c r="B678" s="2">
        <v>77</v>
      </c>
      <c r="C678" s="2">
        <v>5</v>
      </c>
      <c r="D678" s="2">
        <v>1</v>
      </c>
      <c r="E678" s="2">
        <v>1</v>
      </c>
      <c r="F678" s="2">
        <v>1.26484120823443</v>
      </c>
      <c r="G678" s="2" t="s">
        <v>1381</v>
      </c>
      <c r="H678" s="2" t="s">
        <v>1484</v>
      </c>
      <c r="I678" s="2" t="s">
        <v>16</v>
      </c>
      <c r="J678" s="2" t="s">
        <v>1485</v>
      </c>
      <c r="K678" s="2">
        <v>115.181245625019</v>
      </c>
      <c r="L678" s="2">
        <v>116.44610062497701</v>
      </c>
      <c r="M678" s="2">
        <v>59.735074969738001</v>
      </c>
    </row>
    <row r="679" spans="1:13" x14ac:dyDescent="0.2">
      <c r="A679" s="2" t="s">
        <v>1361</v>
      </c>
      <c r="B679" s="2">
        <v>78</v>
      </c>
      <c r="C679" s="2">
        <v>5</v>
      </c>
      <c r="D679" s="2">
        <v>1</v>
      </c>
      <c r="E679" s="2">
        <v>1</v>
      </c>
      <c r="F679" s="2">
        <v>1.94804808334447</v>
      </c>
      <c r="G679" s="2" t="s">
        <v>1115</v>
      </c>
      <c r="H679" s="2" t="s">
        <v>1031</v>
      </c>
      <c r="I679" s="2" t="s">
        <v>16</v>
      </c>
      <c r="J679" s="2" t="s">
        <v>1486</v>
      </c>
      <c r="K679" s="2">
        <v>116.44801420834899</v>
      </c>
      <c r="L679" s="2">
        <v>118.396074624965</v>
      </c>
      <c r="M679" s="2">
        <v>59.735074969738001</v>
      </c>
    </row>
    <row r="680" spans="1:13" x14ac:dyDescent="0.2">
      <c r="A680" s="2" t="s">
        <v>1361</v>
      </c>
      <c r="B680" s="2">
        <v>79</v>
      </c>
      <c r="C680" s="2">
        <v>10</v>
      </c>
      <c r="D680" s="2">
        <v>1</v>
      </c>
      <c r="E680" s="2">
        <v>1</v>
      </c>
      <c r="F680" s="2">
        <v>1.5297879582503799</v>
      </c>
      <c r="G680" s="2" t="s">
        <v>1487</v>
      </c>
      <c r="H680" s="2" t="s">
        <v>1077</v>
      </c>
      <c r="I680" s="2" t="s">
        <v>16</v>
      </c>
      <c r="J680" s="2" t="s">
        <v>1488</v>
      </c>
      <c r="K680" s="2">
        <v>118.399537166581</v>
      </c>
      <c r="L680" s="2">
        <v>119.92933829163699</v>
      </c>
      <c r="M680" s="2">
        <v>59.735074969738001</v>
      </c>
    </row>
    <row r="681" spans="1:13" x14ac:dyDescent="0.2">
      <c r="A681" s="2" t="s">
        <v>1361</v>
      </c>
      <c r="B681" s="2">
        <v>80</v>
      </c>
      <c r="C681" s="2">
        <v>5</v>
      </c>
      <c r="D681" s="2">
        <v>1</v>
      </c>
      <c r="E681" s="2">
        <v>1</v>
      </c>
      <c r="F681" s="2">
        <v>1.7148791665676999</v>
      </c>
      <c r="G681" s="2" t="s">
        <v>1489</v>
      </c>
      <c r="H681" s="2" t="s">
        <v>560</v>
      </c>
      <c r="I681" s="2" t="s">
        <v>16</v>
      </c>
      <c r="J681" s="2" t="s">
        <v>1490</v>
      </c>
      <c r="K681" s="2">
        <v>119.931209416594</v>
      </c>
      <c r="L681" s="2">
        <v>121.64610120828701</v>
      </c>
      <c r="M681" s="2">
        <v>59.735074969738001</v>
      </c>
    </row>
    <row r="682" spans="1:13" x14ac:dyDescent="0.2">
      <c r="A682" s="2" t="s">
        <v>1361</v>
      </c>
      <c r="B682" s="2">
        <v>81</v>
      </c>
      <c r="C682" s="2">
        <v>5</v>
      </c>
      <c r="D682" s="2">
        <v>1</v>
      </c>
      <c r="E682" s="2">
        <v>1</v>
      </c>
      <c r="F682" s="2">
        <v>1.4312750833341901</v>
      </c>
      <c r="G682" s="2" t="s">
        <v>640</v>
      </c>
      <c r="H682" s="2" t="s">
        <v>990</v>
      </c>
      <c r="I682" s="2" t="s">
        <v>16</v>
      </c>
      <c r="J682" s="2" t="s">
        <v>1491</v>
      </c>
      <c r="K682" s="2">
        <v>121.647904041689</v>
      </c>
      <c r="L682" s="2">
        <v>123.079198458348</v>
      </c>
      <c r="M682" s="2">
        <v>59.735074969738001</v>
      </c>
    </row>
    <row r="683" spans="1:13" x14ac:dyDescent="0.2">
      <c r="A683" s="2" t="s">
        <v>1361</v>
      </c>
      <c r="B683" s="2">
        <v>82</v>
      </c>
      <c r="C683" s="2">
        <v>5</v>
      </c>
      <c r="D683" s="2">
        <v>1</v>
      </c>
      <c r="E683" s="2">
        <v>1</v>
      </c>
      <c r="F683" s="2">
        <v>0.76489233330357798</v>
      </c>
      <c r="G683" s="2" t="s">
        <v>1492</v>
      </c>
      <c r="H683" s="2" t="s">
        <v>1261</v>
      </c>
      <c r="I683" s="2" t="s">
        <v>16</v>
      </c>
      <c r="J683" s="2" t="s">
        <v>1493</v>
      </c>
      <c r="K683" s="2">
        <v>123.08117633324601</v>
      </c>
      <c r="L683" s="2">
        <v>123.846082083299</v>
      </c>
      <c r="M683" s="2">
        <v>59.735074969738001</v>
      </c>
    </row>
    <row r="684" spans="1:13" x14ac:dyDescent="0.2">
      <c r="A684" s="2" t="s">
        <v>1361</v>
      </c>
      <c r="B684" s="2">
        <v>83</v>
      </c>
      <c r="C684" s="2">
        <v>10</v>
      </c>
      <c r="D684" s="2">
        <v>1</v>
      </c>
      <c r="E684" s="2">
        <v>1</v>
      </c>
      <c r="F684" s="2">
        <v>1.3464492915663899</v>
      </c>
      <c r="G684" s="2" t="s">
        <v>1375</v>
      </c>
      <c r="H684" s="2" t="s">
        <v>783</v>
      </c>
      <c r="I684" s="2" t="s">
        <v>16</v>
      </c>
      <c r="J684" s="2" t="s">
        <v>1494</v>
      </c>
      <c r="K684" s="2">
        <v>123.849590833299</v>
      </c>
      <c r="L684" s="2">
        <v>125.196054083295</v>
      </c>
      <c r="M684" s="2">
        <v>59.735074969738001</v>
      </c>
    </row>
    <row r="685" spans="1:13" x14ac:dyDescent="0.2">
      <c r="A685" s="2" t="s">
        <v>1361</v>
      </c>
      <c r="B685" s="2">
        <v>84</v>
      </c>
      <c r="C685" s="2">
        <v>5</v>
      </c>
      <c r="D685" s="2">
        <v>1</v>
      </c>
      <c r="E685" s="2">
        <v>1</v>
      </c>
      <c r="F685" s="2">
        <v>1.2147048749029601</v>
      </c>
      <c r="G685" s="2" t="s">
        <v>1224</v>
      </c>
      <c r="H685" s="2" t="s">
        <v>653</v>
      </c>
      <c r="I685" s="2" t="s">
        <v>16</v>
      </c>
      <c r="J685" s="2" t="s">
        <v>1495</v>
      </c>
      <c r="K685" s="2">
        <v>125.198015374946</v>
      </c>
      <c r="L685" s="2">
        <v>126.41273295832799</v>
      </c>
      <c r="M685" s="2">
        <v>59.735074969738001</v>
      </c>
    </row>
    <row r="686" spans="1:13" x14ac:dyDescent="0.2">
      <c r="A686" s="2" t="s">
        <v>1361</v>
      </c>
      <c r="B686" s="2">
        <v>85</v>
      </c>
      <c r="C686" s="2">
        <v>5</v>
      </c>
      <c r="D686" s="2">
        <v>1</v>
      </c>
      <c r="E686" s="2">
        <v>1</v>
      </c>
      <c r="F686" s="2">
        <v>1.4814798332518</v>
      </c>
      <c r="G686" s="2" t="s">
        <v>330</v>
      </c>
      <c r="H686" s="2" t="s">
        <v>1496</v>
      </c>
      <c r="I686" s="2" t="s">
        <v>16</v>
      </c>
      <c r="J686" s="2" t="s">
        <v>1497</v>
      </c>
      <c r="K686" s="2">
        <v>126.41451666667101</v>
      </c>
      <c r="L686" s="2">
        <v>127.896019374952</v>
      </c>
      <c r="M686" s="2">
        <v>59.735074969738001</v>
      </c>
    </row>
    <row r="687" spans="1:13" x14ac:dyDescent="0.2">
      <c r="A687" s="2" t="s">
        <v>1361</v>
      </c>
      <c r="B687" s="2">
        <v>86</v>
      </c>
      <c r="C687" s="2">
        <v>5</v>
      </c>
      <c r="D687" s="2">
        <v>1</v>
      </c>
      <c r="E687" s="2">
        <v>1</v>
      </c>
      <c r="F687" s="2">
        <v>1.19808508339338</v>
      </c>
      <c r="G687" s="2" t="s">
        <v>427</v>
      </c>
      <c r="H687" s="2" t="s">
        <v>1286</v>
      </c>
      <c r="I687" s="2" t="s">
        <v>16</v>
      </c>
      <c r="J687" s="2" t="s">
        <v>1498</v>
      </c>
      <c r="K687" s="2">
        <v>127.897860499914</v>
      </c>
      <c r="L687" s="2">
        <v>129.09595845825999</v>
      </c>
      <c r="M687" s="2">
        <v>59.735074969738001</v>
      </c>
    </row>
    <row r="688" spans="1:13" x14ac:dyDescent="0.2">
      <c r="A688" s="2" t="s">
        <v>1361</v>
      </c>
      <c r="B688" s="2">
        <v>87</v>
      </c>
      <c r="C688" s="2">
        <v>10</v>
      </c>
      <c r="D688" s="2">
        <v>1</v>
      </c>
      <c r="E688" s="2">
        <v>1</v>
      </c>
      <c r="F688" s="2">
        <v>1.1629089999478299</v>
      </c>
      <c r="G688" s="2" t="s">
        <v>109</v>
      </c>
      <c r="H688" s="2" t="s">
        <v>79</v>
      </c>
      <c r="I688" s="2" t="s">
        <v>16</v>
      </c>
      <c r="J688" s="2" t="s">
        <v>1499</v>
      </c>
      <c r="K688" s="2">
        <v>129.09945008333301</v>
      </c>
      <c r="L688" s="2">
        <v>130.26237258326699</v>
      </c>
      <c r="M688" s="2">
        <v>59.735074969738001</v>
      </c>
    </row>
    <row r="689" spans="1:13" x14ac:dyDescent="0.2">
      <c r="A689" s="2" t="s">
        <v>1361</v>
      </c>
      <c r="B689" s="2">
        <v>88</v>
      </c>
      <c r="C689" s="2">
        <v>10</v>
      </c>
      <c r="D689" s="2">
        <v>1</v>
      </c>
      <c r="E689" s="2">
        <v>1</v>
      </c>
      <c r="F689" s="2">
        <v>1.6304140000138401</v>
      </c>
      <c r="G689" s="2" t="s">
        <v>565</v>
      </c>
      <c r="H689" s="2" t="s">
        <v>1500</v>
      </c>
      <c r="I689" s="2" t="s">
        <v>16</v>
      </c>
      <c r="J689" s="2" t="s">
        <v>1501</v>
      </c>
      <c r="K689" s="2">
        <v>130.26610975002399</v>
      </c>
      <c r="L689" s="2">
        <v>131.89653495827201</v>
      </c>
      <c r="M689" s="2">
        <v>59.735074969738001</v>
      </c>
    </row>
    <row r="690" spans="1:13" x14ac:dyDescent="0.2">
      <c r="A690" s="2" t="s">
        <v>1361</v>
      </c>
      <c r="B690" s="2">
        <v>89</v>
      </c>
      <c r="C690" s="2">
        <v>5</v>
      </c>
      <c r="D690" s="2">
        <v>1</v>
      </c>
      <c r="E690" s="2">
        <v>1</v>
      </c>
      <c r="F690" s="2">
        <v>2.01437362493016</v>
      </c>
      <c r="G690" s="2" t="s">
        <v>615</v>
      </c>
      <c r="H690" s="2" t="s">
        <v>404</v>
      </c>
      <c r="I690" s="2" t="s">
        <v>16</v>
      </c>
      <c r="J690" s="2" t="s">
        <v>1502</v>
      </c>
      <c r="K690" s="2">
        <v>131.89832845830799</v>
      </c>
      <c r="L690" s="2">
        <v>133.91271645831901</v>
      </c>
      <c r="M690" s="2">
        <v>59.735074969738001</v>
      </c>
    </row>
    <row r="691" spans="1:13" x14ac:dyDescent="0.2">
      <c r="A691" s="2" t="s">
        <v>1361</v>
      </c>
      <c r="B691" s="2">
        <v>90</v>
      </c>
      <c r="C691" s="2">
        <v>10</v>
      </c>
      <c r="D691" s="2">
        <v>2</v>
      </c>
      <c r="E691" s="2">
        <v>0</v>
      </c>
      <c r="F691" s="2">
        <v>2.8461342083755898</v>
      </c>
      <c r="G691" s="2" t="s">
        <v>1503</v>
      </c>
      <c r="H691" s="2" t="s">
        <v>1504</v>
      </c>
      <c r="I691" s="2" t="s">
        <v>23</v>
      </c>
      <c r="J691" s="2" t="s">
        <v>1505</v>
      </c>
      <c r="K691" s="2">
        <v>133.91626366658599</v>
      </c>
      <c r="L691" s="2">
        <v>136.762410541647</v>
      </c>
      <c r="M691" s="2">
        <v>59.735074969738001</v>
      </c>
    </row>
    <row r="692" spans="1:13" x14ac:dyDescent="0.2">
      <c r="A692" s="2" t="s">
        <v>1361</v>
      </c>
      <c r="B692" s="2">
        <v>91</v>
      </c>
      <c r="C692" s="2">
        <v>5</v>
      </c>
      <c r="D692" s="2">
        <v>1</v>
      </c>
      <c r="E692" s="2">
        <v>1</v>
      </c>
      <c r="F692" s="2">
        <v>1.1149480416206601</v>
      </c>
      <c r="G692" s="2" t="s">
        <v>327</v>
      </c>
      <c r="H692" s="2" t="s">
        <v>406</v>
      </c>
      <c r="I692" s="2" t="s">
        <v>16</v>
      </c>
      <c r="J692" s="2" t="s">
        <v>1506</v>
      </c>
      <c r="K692" s="2">
        <v>136.76449341664599</v>
      </c>
      <c r="L692" s="2">
        <v>137.87945354159501</v>
      </c>
      <c r="M692" s="2">
        <v>59.735074969738001</v>
      </c>
    </row>
    <row r="693" spans="1:13" x14ac:dyDescent="0.2">
      <c r="A693" s="2" t="s">
        <v>1361</v>
      </c>
      <c r="B693" s="2">
        <v>92</v>
      </c>
      <c r="C693" s="2">
        <v>10</v>
      </c>
      <c r="D693" s="2">
        <v>1</v>
      </c>
      <c r="E693" s="2">
        <v>1</v>
      </c>
      <c r="F693" s="2">
        <v>1.2131412082817401</v>
      </c>
      <c r="G693" s="2" t="s">
        <v>1507</v>
      </c>
      <c r="H693" s="2" t="s">
        <v>484</v>
      </c>
      <c r="I693" s="2" t="s">
        <v>16</v>
      </c>
      <c r="J693" s="2" t="s">
        <v>1508</v>
      </c>
      <c r="K693" s="2">
        <v>137.882906624931</v>
      </c>
      <c r="L693" s="2">
        <v>139.09606004168799</v>
      </c>
      <c r="M693" s="2">
        <v>59.735074969738001</v>
      </c>
    </row>
    <row r="694" spans="1:13" x14ac:dyDescent="0.2">
      <c r="A694" s="2" t="s">
        <v>1361</v>
      </c>
      <c r="B694" s="2">
        <v>93</v>
      </c>
      <c r="C694" s="2">
        <v>5</v>
      </c>
      <c r="D694" s="2">
        <v>1</v>
      </c>
      <c r="E694" s="2">
        <v>1</v>
      </c>
      <c r="F694" s="2">
        <v>1.5479902083752699</v>
      </c>
      <c r="G694" s="2" t="s">
        <v>565</v>
      </c>
      <c r="H694" s="2" t="s">
        <v>1509</v>
      </c>
      <c r="I694" s="2" t="s">
        <v>16</v>
      </c>
      <c r="J694" s="2" t="s">
        <v>1510</v>
      </c>
      <c r="K694" s="2">
        <v>139.097912791651</v>
      </c>
      <c r="L694" s="2">
        <v>140.64591600000901</v>
      </c>
      <c r="M694" s="2">
        <v>59.735074969738001</v>
      </c>
    </row>
    <row r="695" spans="1:13" x14ac:dyDescent="0.2">
      <c r="A695" s="2" t="s">
        <v>1361</v>
      </c>
      <c r="B695" s="2">
        <v>94</v>
      </c>
      <c r="C695" s="2">
        <v>5</v>
      </c>
      <c r="D695" s="2">
        <v>1</v>
      </c>
      <c r="E695" s="2">
        <v>1</v>
      </c>
      <c r="F695" s="2">
        <v>1.9480035000015099</v>
      </c>
      <c r="G695" s="2" t="s">
        <v>260</v>
      </c>
      <c r="H695" s="2" t="s">
        <v>356</v>
      </c>
      <c r="I695" s="2" t="s">
        <v>16</v>
      </c>
      <c r="J695" s="2" t="s">
        <v>1511</v>
      </c>
      <c r="K695" s="2">
        <v>140.64771770825601</v>
      </c>
      <c r="L695" s="2">
        <v>142.59573754167701</v>
      </c>
      <c r="M695" s="2">
        <v>59.735074969738001</v>
      </c>
    </row>
    <row r="696" spans="1:13" x14ac:dyDescent="0.2">
      <c r="A696" s="2" t="s">
        <v>1361</v>
      </c>
      <c r="B696" s="2">
        <v>95</v>
      </c>
      <c r="C696" s="2">
        <v>10</v>
      </c>
      <c r="D696" s="2">
        <v>1</v>
      </c>
      <c r="E696" s="2">
        <v>1</v>
      </c>
      <c r="F696" s="2">
        <v>1.33001212507952</v>
      </c>
      <c r="G696" s="2" t="s">
        <v>1512</v>
      </c>
      <c r="H696" s="2" t="s">
        <v>152</v>
      </c>
      <c r="I696" s="2" t="s">
        <v>16</v>
      </c>
      <c r="J696" s="2" t="s">
        <v>1513</v>
      </c>
      <c r="K696" s="2">
        <v>142.599359333282</v>
      </c>
      <c r="L696" s="2">
        <v>143.92938462493501</v>
      </c>
      <c r="M696" s="2">
        <v>59.735074969738001</v>
      </c>
    </row>
    <row r="697" spans="1:13" x14ac:dyDescent="0.2">
      <c r="A697" s="2" t="s">
        <v>1361</v>
      </c>
      <c r="B697" s="2">
        <v>96</v>
      </c>
      <c r="C697" s="2">
        <v>10</v>
      </c>
      <c r="D697" s="2">
        <v>1</v>
      </c>
      <c r="E697" s="2">
        <v>1</v>
      </c>
      <c r="F697" s="2">
        <v>1.5465458333492299</v>
      </c>
      <c r="G697" s="2" t="s">
        <v>1099</v>
      </c>
      <c r="H697" s="2" t="s">
        <v>178</v>
      </c>
      <c r="I697" s="2" t="s">
        <v>16</v>
      </c>
      <c r="J697" s="2" t="s">
        <v>1514</v>
      </c>
      <c r="K697" s="2">
        <v>143.932922291686</v>
      </c>
      <c r="L697" s="2">
        <v>145.47948124993101</v>
      </c>
      <c r="M697" s="2">
        <v>59.735074969738001</v>
      </c>
    </row>
    <row r="698" spans="1:13" x14ac:dyDescent="0.2">
      <c r="A698" s="2" t="s">
        <v>1361</v>
      </c>
      <c r="B698" s="2">
        <v>97</v>
      </c>
      <c r="C698" s="2">
        <v>5</v>
      </c>
      <c r="D698" s="2">
        <v>1</v>
      </c>
      <c r="E698" s="2">
        <v>1</v>
      </c>
      <c r="F698" s="2">
        <v>1.24795466661453</v>
      </c>
      <c r="G698" s="2" t="s">
        <v>1515</v>
      </c>
      <c r="H698" s="2" t="s">
        <v>1516</v>
      </c>
      <c r="I698" s="2" t="s">
        <v>16</v>
      </c>
      <c r="J698" s="2" t="s">
        <v>1517</v>
      </c>
      <c r="K698" s="2">
        <v>145.481331583345</v>
      </c>
      <c r="L698" s="2">
        <v>146.72929912491199</v>
      </c>
      <c r="M698" s="2">
        <v>59.735074969738001</v>
      </c>
    </row>
    <row r="699" spans="1:13" x14ac:dyDescent="0.2">
      <c r="A699" s="2" t="s">
        <v>1361</v>
      </c>
      <c r="B699" s="2">
        <v>98</v>
      </c>
      <c r="C699" s="2">
        <v>10</v>
      </c>
      <c r="D699" s="2">
        <v>1</v>
      </c>
      <c r="E699" s="2">
        <v>1</v>
      </c>
      <c r="F699" s="2">
        <v>1.6297250416828299</v>
      </c>
      <c r="G699" s="2" t="s">
        <v>1171</v>
      </c>
      <c r="H699" s="2" t="s">
        <v>327</v>
      </c>
      <c r="I699" s="2" t="s">
        <v>16</v>
      </c>
      <c r="J699" s="2" t="s">
        <v>1518</v>
      </c>
      <c r="K699" s="2">
        <v>146.73279920825701</v>
      </c>
      <c r="L699" s="2">
        <v>148.36254008335499</v>
      </c>
      <c r="M699" s="2">
        <v>59.735074969738001</v>
      </c>
    </row>
    <row r="700" spans="1:13" x14ac:dyDescent="0.2">
      <c r="A700" s="2" t="s">
        <v>1361</v>
      </c>
      <c r="B700" s="2">
        <v>99</v>
      </c>
      <c r="C700" s="2">
        <v>5</v>
      </c>
      <c r="D700" s="2">
        <v>1</v>
      </c>
      <c r="E700" s="2">
        <v>1</v>
      </c>
      <c r="F700" s="2">
        <v>1.0150272082537399</v>
      </c>
      <c r="G700" s="2" t="s">
        <v>1519</v>
      </c>
      <c r="H700" s="2" t="s">
        <v>1443</v>
      </c>
      <c r="I700" s="2" t="s">
        <v>16</v>
      </c>
      <c r="J700" s="2" t="s">
        <v>1520</v>
      </c>
      <c r="K700" s="2">
        <v>148.364391083247</v>
      </c>
      <c r="L700" s="2">
        <v>149.37943099997901</v>
      </c>
      <c r="M700" s="2">
        <v>59.735074969738001</v>
      </c>
    </row>
    <row r="701" spans="1:13" x14ac:dyDescent="0.2">
      <c r="A701" s="2" t="s">
        <v>1361</v>
      </c>
      <c r="B701" s="2">
        <v>100</v>
      </c>
      <c r="C701" s="2">
        <v>10</v>
      </c>
      <c r="D701" s="2">
        <v>1</v>
      </c>
      <c r="E701" s="2">
        <v>1</v>
      </c>
      <c r="F701" s="2">
        <v>2.2129344166023701</v>
      </c>
      <c r="G701" s="2" t="s">
        <v>129</v>
      </c>
      <c r="H701" s="2" t="s">
        <v>1521</v>
      </c>
      <c r="I701" s="2" t="s">
        <v>16</v>
      </c>
      <c r="J701" s="2" t="s">
        <v>1522</v>
      </c>
      <c r="K701" s="2">
        <v>149.382859083358</v>
      </c>
      <c r="L701" s="2">
        <v>151.59581212501499</v>
      </c>
      <c r="M701" s="2">
        <v>59.735074969738001</v>
      </c>
    </row>
    <row r="702" spans="1:13" x14ac:dyDescent="0.2">
      <c r="A702" s="2" t="s">
        <v>1361</v>
      </c>
      <c r="B702" s="2">
        <v>101</v>
      </c>
      <c r="C702" s="2">
        <v>5</v>
      </c>
      <c r="D702" s="2">
        <v>1</v>
      </c>
      <c r="E702" s="2">
        <v>1</v>
      </c>
      <c r="F702" s="2">
        <v>1.1815134166972701</v>
      </c>
      <c r="G702" s="2" t="s">
        <v>1268</v>
      </c>
      <c r="H702" s="2" t="s">
        <v>1523</v>
      </c>
      <c r="I702" s="2" t="s">
        <v>16</v>
      </c>
      <c r="J702" s="2" t="s">
        <v>1524</v>
      </c>
      <c r="K702" s="2">
        <v>151.59774570830601</v>
      </c>
      <c r="L702" s="2">
        <v>152.77927483327201</v>
      </c>
      <c r="M702" s="2">
        <v>59.735074969738001</v>
      </c>
    </row>
    <row r="703" spans="1:13" x14ac:dyDescent="0.2">
      <c r="A703" s="2" t="s">
        <v>1361</v>
      </c>
      <c r="B703" s="2">
        <v>102</v>
      </c>
      <c r="C703" s="2">
        <v>5</v>
      </c>
      <c r="D703" s="2">
        <v>1</v>
      </c>
      <c r="E703" s="2">
        <v>1</v>
      </c>
      <c r="F703" s="2">
        <v>1.44788520841394</v>
      </c>
      <c r="G703" s="2" t="s">
        <v>758</v>
      </c>
      <c r="H703" s="2" t="s">
        <v>1525</v>
      </c>
      <c r="I703" s="2" t="s">
        <v>16</v>
      </c>
      <c r="J703" s="2" t="s">
        <v>1526</v>
      </c>
      <c r="K703" s="2">
        <v>152.78126887499801</v>
      </c>
      <c r="L703" s="2">
        <v>154.229168749997</v>
      </c>
      <c r="M703" s="2">
        <v>59.735074969738001</v>
      </c>
    </row>
    <row r="704" spans="1:13" x14ac:dyDescent="0.2">
      <c r="A704" s="2" t="s">
        <v>1361</v>
      </c>
      <c r="B704" s="2">
        <v>103</v>
      </c>
      <c r="C704" s="2">
        <v>5</v>
      </c>
      <c r="D704" s="2">
        <v>1</v>
      </c>
      <c r="E704" s="2">
        <v>1</v>
      </c>
      <c r="F704" s="2">
        <v>1.2147545416373799</v>
      </c>
      <c r="G704" s="2" t="s">
        <v>257</v>
      </c>
      <c r="H704" s="2" t="s">
        <v>1136</v>
      </c>
      <c r="I704" s="2" t="s">
        <v>16</v>
      </c>
      <c r="J704" s="2" t="s">
        <v>1527</v>
      </c>
      <c r="K704" s="2">
        <v>154.23114691663099</v>
      </c>
      <c r="L704" s="2">
        <v>155.44591583334801</v>
      </c>
      <c r="M704" s="2">
        <v>59.735074969738001</v>
      </c>
    </row>
    <row r="705" spans="1:13" x14ac:dyDescent="0.2">
      <c r="A705" s="2" t="s">
        <v>1361</v>
      </c>
      <c r="B705" s="2">
        <v>104</v>
      </c>
      <c r="C705" s="2">
        <v>5</v>
      </c>
      <c r="D705" s="2">
        <v>1</v>
      </c>
      <c r="E705" s="2">
        <v>1</v>
      </c>
      <c r="F705" s="2">
        <v>1.44837541668676</v>
      </c>
      <c r="G705" s="2" t="s">
        <v>603</v>
      </c>
      <c r="H705" s="2" t="s">
        <v>1528</v>
      </c>
      <c r="I705" s="2" t="s">
        <v>16</v>
      </c>
      <c r="J705" s="2" t="s">
        <v>1529</v>
      </c>
      <c r="K705" s="2">
        <v>155.44788962497799</v>
      </c>
      <c r="L705" s="2">
        <v>156.89627649996001</v>
      </c>
      <c r="M705" s="2">
        <v>59.735074969738001</v>
      </c>
    </row>
    <row r="706" spans="1:13" x14ac:dyDescent="0.2">
      <c r="A706" s="2" t="s">
        <v>1361</v>
      </c>
      <c r="B706" s="2">
        <v>105</v>
      </c>
      <c r="C706" s="2">
        <v>5</v>
      </c>
      <c r="D706" s="2">
        <v>1</v>
      </c>
      <c r="E706" s="2">
        <v>1</v>
      </c>
      <c r="F706" s="2">
        <v>1.1477309167385099</v>
      </c>
      <c r="G706" s="2" t="s">
        <v>926</v>
      </c>
      <c r="H706" s="2" t="s">
        <v>468</v>
      </c>
      <c r="I706" s="2" t="s">
        <v>16</v>
      </c>
      <c r="J706" s="2" t="s">
        <v>1530</v>
      </c>
      <c r="K706" s="2">
        <v>156.898192583351</v>
      </c>
      <c r="L706" s="2">
        <v>158.045936874929</v>
      </c>
      <c r="M706" s="2">
        <v>59.735074969738001</v>
      </c>
    </row>
    <row r="707" spans="1:13" x14ac:dyDescent="0.2">
      <c r="A707" s="2" t="s">
        <v>1361</v>
      </c>
      <c r="B707" s="2">
        <v>106</v>
      </c>
      <c r="C707" s="2">
        <v>5</v>
      </c>
      <c r="D707" s="2">
        <v>1</v>
      </c>
      <c r="E707" s="2">
        <v>1</v>
      </c>
      <c r="F707" s="2">
        <v>1.0480516667012101</v>
      </c>
      <c r="G707" s="2" t="s">
        <v>488</v>
      </c>
      <c r="H707" s="2" t="s">
        <v>1531</v>
      </c>
      <c r="I707" s="2" t="s">
        <v>16</v>
      </c>
      <c r="J707" s="2" t="s">
        <v>1532</v>
      </c>
      <c r="K707" s="2">
        <v>158.04787474998699</v>
      </c>
      <c r="L707" s="2">
        <v>159.09593887499099</v>
      </c>
      <c r="M707" s="2">
        <v>59.735074969738001</v>
      </c>
    </row>
    <row r="708" spans="1:13" x14ac:dyDescent="0.2">
      <c r="A708" s="2" t="s">
        <v>1361</v>
      </c>
      <c r="B708" s="2">
        <v>107</v>
      </c>
      <c r="C708" s="2">
        <v>5</v>
      </c>
      <c r="D708" s="2">
        <v>1</v>
      </c>
      <c r="E708" s="2">
        <v>1</v>
      </c>
      <c r="F708" s="2">
        <v>1.0647599166259201</v>
      </c>
      <c r="G708" s="2" t="s">
        <v>1222</v>
      </c>
      <c r="H708" s="2" t="s">
        <v>836</v>
      </c>
      <c r="I708" s="2" t="s">
        <v>16</v>
      </c>
      <c r="J708" s="2" t="s">
        <v>1533</v>
      </c>
      <c r="K708" s="2">
        <v>159.097806541598</v>
      </c>
      <c r="L708" s="2">
        <v>160.16257937496999</v>
      </c>
      <c r="M708" s="2">
        <v>59.735074969738001</v>
      </c>
    </row>
    <row r="709" spans="1:13" x14ac:dyDescent="0.2">
      <c r="A709" s="2" t="s">
        <v>1361</v>
      </c>
      <c r="B709" s="2">
        <v>108</v>
      </c>
      <c r="C709" s="2">
        <v>5</v>
      </c>
      <c r="D709" s="2">
        <v>1</v>
      </c>
      <c r="E709" s="2">
        <v>1</v>
      </c>
      <c r="F709" s="2">
        <v>1.33152100001462</v>
      </c>
      <c r="G709" s="2" t="s">
        <v>1266</v>
      </c>
      <c r="H709" s="2" t="s">
        <v>1534</v>
      </c>
      <c r="I709" s="2" t="s">
        <v>16</v>
      </c>
      <c r="J709" s="2" t="s">
        <v>1535</v>
      </c>
      <c r="K709" s="2">
        <v>160.16445370833401</v>
      </c>
      <c r="L709" s="2">
        <v>161.49598629167301</v>
      </c>
      <c r="M709" s="2">
        <v>59.735074969738001</v>
      </c>
    </row>
    <row r="710" spans="1:13" x14ac:dyDescent="0.2">
      <c r="A710" s="2" t="s">
        <v>1361</v>
      </c>
      <c r="B710" s="2">
        <v>109</v>
      </c>
      <c r="C710" s="2">
        <v>5</v>
      </c>
      <c r="D710" s="2">
        <v>1</v>
      </c>
      <c r="E710" s="2">
        <v>1</v>
      </c>
      <c r="F710" s="2">
        <v>1.2482596666086501</v>
      </c>
      <c r="G710" s="2" t="s">
        <v>1536</v>
      </c>
      <c r="H710" s="2" t="s">
        <v>37</v>
      </c>
      <c r="I710" s="2" t="s">
        <v>16</v>
      </c>
      <c r="J710" s="2" t="s">
        <v>1537</v>
      </c>
      <c r="K710" s="2">
        <v>161.497773041599</v>
      </c>
      <c r="L710" s="2">
        <v>162.74605399998799</v>
      </c>
      <c r="M710" s="2">
        <v>59.735074969738001</v>
      </c>
    </row>
    <row r="711" spans="1:13" x14ac:dyDescent="0.2">
      <c r="A711" s="2" t="s">
        <v>1361</v>
      </c>
      <c r="B711" s="2">
        <v>110</v>
      </c>
      <c r="C711" s="2">
        <v>10</v>
      </c>
      <c r="D711" s="2">
        <v>1</v>
      </c>
      <c r="E711" s="2">
        <v>1</v>
      </c>
      <c r="F711" s="2">
        <v>1.07959308323916</v>
      </c>
      <c r="G711" s="2" t="s">
        <v>547</v>
      </c>
      <c r="H711" s="2" t="s">
        <v>46</v>
      </c>
      <c r="I711" s="2" t="s">
        <v>16</v>
      </c>
      <c r="J711" s="2" t="s">
        <v>1538</v>
      </c>
      <c r="K711" s="2">
        <v>162.749711374985</v>
      </c>
      <c r="L711" s="2">
        <v>163.82931908324801</v>
      </c>
      <c r="M711" s="2">
        <v>59.735074969738001</v>
      </c>
    </row>
    <row r="712" spans="1:13" x14ac:dyDescent="0.2">
      <c r="A712" s="2" t="s">
        <v>1361</v>
      </c>
      <c r="B712" s="2">
        <v>111</v>
      </c>
      <c r="C712" s="2">
        <v>5</v>
      </c>
      <c r="D712" s="2">
        <v>1</v>
      </c>
      <c r="E712" s="2">
        <v>1</v>
      </c>
      <c r="F712" s="2">
        <v>1.28114737500437</v>
      </c>
      <c r="G712" s="2" t="s">
        <v>1118</v>
      </c>
      <c r="H712" s="2" t="s">
        <v>1064</v>
      </c>
      <c r="I712" s="2" t="s">
        <v>16</v>
      </c>
      <c r="J712" s="2" t="s">
        <v>1539</v>
      </c>
      <c r="K712" s="2">
        <v>163.83142741664801</v>
      </c>
      <c r="L712" s="2">
        <v>165.11258845834499</v>
      </c>
      <c r="M712" s="2">
        <v>59.735074969738001</v>
      </c>
    </row>
    <row r="713" spans="1:13" x14ac:dyDescent="0.2">
      <c r="A713" s="2" t="s">
        <v>1361</v>
      </c>
      <c r="B713" s="2">
        <v>112</v>
      </c>
      <c r="C713" s="2">
        <v>10</v>
      </c>
      <c r="D713" s="2">
        <v>1</v>
      </c>
      <c r="E713" s="2">
        <v>1</v>
      </c>
      <c r="F713" s="2">
        <v>0.96301420836243801</v>
      </c>
      <c r="G713" s="2" t="s">
        <v>1214</v>
      </c>
      <c r="H713" s="2" t="s">
        <v>289</v>
      </c>
      <c r="I713" s="2" t="s">
        <v>16</v>
      </c>
      <c r="J713" s="2" t="s">
        <v>1540</v>
      </c>
      <c r="K713" s="2">
        <v>165.11619995825501</v>
      </c>
      <c r="L713" s="2">
        <v>166.07922770828</v>
      </c>
      <c r="M713" s="2">
        <v>59.735074969738001</v>
      </c>
    </row>
    <row r="714" spans="1:13" x14ac:dyDescent="0.2">
      <c r="A714" s="2" t="s">
        <v>1361</v>
      </c>
      <c r="B714" s="2">
        <v>113</v>
      </c>
      <c r="C714" s="2">
        <v>5</v>
      </c>
      <c r="D714" s="2">
        <v>1</v>
      </c>
      <c r="E714" s="2">
        <v>1</v>
      </c>
      <c r="F714" s="2">
        <v>1.2816853749100099</v>
      </c>
      <c r="G714" s="2" t="s">
        <v>417</v>
      </c>
      <c r="H714" s="2" t="s">
        <v>1541</v>
      </c>
      <c r="I714" s="2" t="s">
        <v>16</v>
      </c>
      <c r="J714" s="2" t="s">
        <v>1542</v>
      </c>
      <c r="K714" s="2">
        <v>166.081203249982</v>
      </c>
      <c r="L714" s="2">
        <v>167.36290120833999</v>
      </c>
      <c r="M714" s="2">
        <v>59.735074969738001</v>
      </c>
    </row>
    <row r="715" spans="1:13" x14ac:dyDescent="0.2">
      <c r="A715" s="2" t="s">
        <v>1361</v>
      </c>
      <c r="B715" s="2">
        <v>114</v>
      </c>
      <c r="C715" s="2">
        <v>5</v>
      </c>
      <c r="D715" s="2">
        <v>1</v>
      </c>
      <c r="E715" s="2">
        <v>1</v>
      </c>
      <c r="F715" s="2">
        <v>1.2478968750219801</v>
      </c>
      <c r="G715" s="2" t="s">
        <v>800</v>
      </c>
      <c r="H715" s="2" t="s">
        <v>446</v>
      </c>
      <c r="I715" s="2" t="s">
        <v>16</v>
      </c>
      <c r="J715" s="2" t="s">
        <v>1543</v>
      </c>
      <c r="K715" s="2">
        <v>167.36480487498901</v>
      </c>
      <c r="L715" s="2">
        <v>168.612732291687</v>
      </c>
      <c r="M715" s="2">
        <v>59.735074969738001</v>
      </c>
    </row>
    <row r="716" spans="1:13" x14ac:dyDescent="0.2">
      <c r="A716" s="2" t="s">
        <v>1361</v>
      </c>
      <c r="B716" s="2">
        <v>115</v>
      </c>
      <c r="C716" s="2">
        <v>10</v>
      </c>
      <c r="D716" s="2">
        <v>1</v>
      </c>
      <c r="E716" s="2">
        <v>1</v>
      </c>
      <c r="F716" s="2">
        <v>1.52982024999801</v>
      </c>
      <c r="G716" s="2" t="s">
        <v>349</v>
      </c>
      <c r="H716" s="2" t="s">
        <v>257</v>
      </c>
      <c r="I716" s="2" t="s">
        <v>16</v>
      </c>
      <c r="J716" s="2" t="s">
        <v>1544</v>
      </c>
      <c r="K716" s="2">
        <v>168.61621925002001</v>
      </c>
      <c r="L716" s="2">
        <v>170.14605245832399</v>
      </c>
      <c r="M716" s="2">
        <v>59.735074969738001</v>
      </c>
    </row>
    <row r="717" spans="1:13" x14ac:dyDescent="0.2">
      <c r="A717" s="2" t="s">
        <v>1361</v>
      </c>
      <c r="B717" s="2">
        <v>116</v>
      </c>
      <c r="C717" s="2">
        <v>10</v>
      </c>
      <c r="D717" s="2">
        <v>1</v>
      </c>
      <c r="E717" s="2">
        <v>1</v>
      </c>
      <c r="F717" s="2">
        <v>1.46308708330616</v>
      </c>
      <c r="G717" s="2" t="s">
        <v>1000</v>
      </c>
      <c r="H717" s="2" t="s">
        <v>1545</v>
      </c>
      <c r="I717" s="2" t="s">
        <v>16</v>
      </c>
      <c r="J717" s="2" t="s">
        <v>1546</v>
      </c>
      <c r="K717" s="2">
        <v>170.14951233332999</v>
      </c>
      <c r="L717" s="2">
        <v>171.612613166682</v>
      </c>
      <c r="M717" s="2">
        <v>59.735074969738001</v>
      </c>
    </row>
    <row r="718" spans="1:13" x14ac:dyDescent="0.2">
      <c r="A718" s="2" t="s">
        <v>1361</v>
      </c>
      <c r="B718" s="2">
        <v>117</v>
      </c>
      <c r="C718" s="2">
        <v>10</v>
      </c>
      <c r="D718" s="2">
        <v>1</v>
      </c>
      <c r="E718" s="2">
        <v>1</v>
      </c>
      <c r="F718" s="2">
        <v>1.59614487504587</v>
      </c>
      <c r="G718" s="2" t="s">
        <v>1547</v>
      </c>
      <c r="H718" s="2" t="s">
        <v>894</v>
      </c>
      <c r="I718" s="2" t="s">
        <v>16</v>
      </c>
      <c r="J718" s="2" t="s">
        <v>1548</v>
      </c>
      <c r="K718" s="2">
        <v>171.616290833335</v>
      </c>
      <c r="L718" s="2">
        <v>173.212451249943</v>
      </c>
      <c r="M718" s="2">
        <v>59.735074969738001</v>
      </c>
    </row>
    <row r="719" spans="1:13" x14ac:dyDescent="0.2">
      <c r="A719" s="2" t="s">
        <v>1361</v>
      </c>
      <c r="B719" s="2">
        <v>118</v>
      </c>
      <c r="C719" s="2">
        <v>5</v>
      </c>
      <c r="D719" s="2">
        <v>1</v>
      </c>
      <c r="E719" s="2">
        <v>1</v>
      </c>
      <c r="F719" s="2">
        <v>0.89822879165876701</v>
      </c>
      <c r="G719" s="2" t="s">
        <v>1431</v>
      </c>
      <c r="H719" s="2" t="s">
        <v>1094</v>
      </c>
      <c r="I719" s="2" t="s">
        <v>16</v>
      </c>
      <c r="J719" s="2" t="s">
        <v>1549</v>
      </c>
      <c r="K719" s="2">
        <v>173.214405041654</v>
      </c>
      <c r="L719" s="2">
        <v>174.112648749957</v>
      </c>
      <c r="M719" s="2">
        <v>59.735074969738001</v>
      </c>
    </row>
    <row r="720" spans="1:13" x14ac:dyDescent="0.2">
      <c r="A720" s="2" t="s">
        <v>1361</v>
      </c>
      <c r="B720" s="2">
        <v>119</v>
      </c>
      <c r="C720" s="2">
        <v>10</v>
      </c>
      <c r="D720" s="2">
        <v>1</v>
      </c>
      <c r="E720" s="2">
        <v>1</v>
      </c>
      <c r="F720" s="2">
        <v>1.22968025004957</v>
      </c>
      <c r="G720" s="2" t="s">
        <v>1550</v>
      </c>
      <c r="H720" s="2" t="s">
        <v>1216</v>
      </c>
      <c r="I720" s="2" t="s">
        <v>16</v>
      </c>
      <c r="J720" s="2" t="s">
        <v>1551</v>
      </c>
      <c r="K720" s="2">
        <v>174.11621766665499</v>
      </c>
      <c r="L720" s="2">
        <v>175.34590966661901</v>
      </c>
      <c r="M720" s="2">
        <v>59.735074969738001</v>
      </c>
    </row>
    <row r="721" spans="1:13" x14ac:dyDescent="0.2">
      <c r="A721" s="2" t="s">
        <v>1361</v>
      </c>
      <c r="B721" s="2">
        <v>120</v>
      </c>
      <c r="C721" s="2">
        <v>5</v>
      </c>
      <c r="D721" s="2">
        <v>1</v>
      </c>
      <c r="E721" s="2">
        <v>1</v>
      </c>
      <c r="F721" s="2">
        <v>1.94806366669945</v>
      </c>
      <c r="G721" s="2" t="s">
        <v>283</v>
      </c>
      <c r="H721" s="2" t="s">
        <v>375</v>
      </c>
      <c r="I721" s="2" t="s">
        <v>16</v>
      </c>
      <c r="J721" s="2" t="s">
        <v>1552</v>
      </c>
      <c r="K721" s="2">
        <v>175.34773458330901</v>
      </c>
      <c r="L721" s="2">
        <v>177.29581491660801</v>
      </c>
      <c r="M721" s="2">
        <v>59.735074969738001</v>
      </c>
    </row>
    <row r="722" spans="1:13" x14ac:dyDescent="0.2">
      <c r="A722" s="2" t="s">
        <v>1361</v>
      </c>
      <c r="B722" s="2">
        <v>121</v>
      </c>
      <c r="C722" s="2">
        <v>5</v>
      </c>
      <c r="D722" s="2">
        <v>1</v>
      </c>
      <c r="E722" s="2">
        <v>1</v>
      </c>
      <c r="F722" s="2">
        <v>1.5979617916746101</v>
      </c>
      <c r="G722" s="2" t="s">
        <v>1553</v>
      </c>
      <c r="H722" s="2" t="s">
        <v>442</v>
      </c>
      <c r="I722" s="2" t="s">
        <v>16</v>
      </c>
      <c r="J722" s="2" t="s">
        <v>1554</v>
      </c>
      <c r="K722" s="2">
        <v>177.29781362495899</v>
      </c>
      <c r="L722" s="2">
        <v>178.89578620833299</v>
      </c>
      <c r="M722" s="2">
        <v>59.735074969738001</v>
      </c>
    </row>
    <row r="723" spans="1:13" x14ac:dyDescent="0.2">
      <c r="A723" s="2" t="s">
        <v>1361</v>
      </c>
      <c r="B723" s="2">
        <v>122</v>
      </c>
      <c r="C723" s="2">
        <v>10</v>
      </c>
      <c r="D723" s="2">
        <v>1</v>
      </c>
      <c r="E723" s="2">
        <v>1</v>
      </c>
      <c r="F723" s="2">
        <v>1.57984870835207</v>
      </c>
      <c r="G723" s="2" t="s">
        <v>577</v>
      </c>
      <c r="H723" s="2" t="s">
        <v>1383</v>
      </c>
      <c r="I723" s="2" t="s">
        <v>16</v>
      </c>
      <c r="J723" s="2" t="s">
        <v>1555</v>
      </c>
      <c r="K723" s="2">
        <v>178.89930666668801</v>
      </c>
      <c r="L723" s="2">
        <v>180.47916741669201</v>
      </c>
      <c r="M723" s="2">
        <v>59.735074969738001</v>
      </c>
    </row>
    <row r="724" spans="1:13" x14ac:dyDescent="0.2">
      <c r="A724" s="2" t="s">
        <v>1361</v>
      </c>
      <c r="B724" s="2">
        <v>123</v>
      </c>
      <c r="C724" s="2">
        <v>10</v>
      </c>
      <c r="D724" s="2">
        <v>1</v>
      </c>
      <c r="E724" s="2">
        <v>1</v>
      </c>
      <c r="F724" s="2">
        <v>2.5464157082606098</v>
      </c>
      <c r="G724" s="2" t="s">
        <v>916</v>
      </c>
      <c r="H724" s="2" t="s">
        <v>1556</v>
      </c>
      <c r="I724" s="2" t="s">
        <v>16</v>
      </c>
      <c r="J724" s="2" t="s">
        <v>1557</v>
      </c>
      <c r="K724" s="2">
        <v>180.48259124998</v>
      </c>
      <c r="L724" s="2">
        <v>183.029030458303</v>
      </c>
      <c r="M724" s="2">
        <v>59.735074969738001</v>
      </c>
    </row>
    <row r="725" spans="1:13" x14ac:dyDescent="0.2">
      <c r="A725" s="2" t="s">
        <v>1361</v>
      </c>
      <c r="B725" s="2">
        <v>124</v>
      </c>
      <c r="C725" s="2">
        <v>5</v>
      </c>
      <c r="D725" s="2">
        <v>1</v>
      </c>
      <c r="E725" s="2">
        <v>1</v>
      </c>
      <c r="F725" s="2">
        <v>1.2483015416655701</v>
      </c>
      <c r="G725" s="2" t="s">
        <v>380</v>
      </c>
      <c r="H725" s="2" t="s">
        <v>496</v>
      </c>
      <c r="I725" s="2" t="s">
        <v>16</v>
      </c>
      <c r="J725" s="2" t="s">
        <v>1558</v>
      </c>
      <c r="K725" s="2">
        <v>183.031041124952</v>
      </c>
      <c r="L725" s="2">
        <v>184.27935874997601</v>
      </c>
      <c r="M725" s="2">
        <v>59.735074969738001</v>
      </c>
    </row>
    <row r="726" spans="1:13" x14ac:dyDescent="0.2">
      <c r="A726" s="2" t="s">
        <v>1361</v>
      </c>
      <c r="B726" s="2">
        <v>125</v>
      </c>
      <c r="C726" s="2">
        <v>10</v>
      </c>
      <c r="D726" s="2">
        <v>1</v>
      </c>
      <c r="E726" s="2">
        <v>1</v>
      </c>
      <c r="F726" s="2">
        <v>1.26264208334032</v>
      </c>
      <c r="G726" s="2" t="s">
        <v>995</v>
      </c>
      <c r="H726" s="2" t="s">
        <v>221</v>
      </c>
      <c r="I726" s="2" t="s">
        <v>16</v>
      </c>
      <c r="J726" s="2" t="s">
        <v>1559</v>
      </c>
      <c r="K726" s="2">
        <v>184.283134333324</v>
      </c>
      <c r="L726" s="2">
        <v>185.54579595825601</v>
      </c>
      <c r="M726" s="2">
        <v>59.735074969738001</v>
      </c>
    </row>
    <row r="727" spans="1:13" x14ac:dyDescent="0.2">
      <c r="A727" s="2" t="s">
        <v>1361</v>
      </c>
      <c r="B727" s="2">
        <v>126</v>
      </c>
      <c r="C727" s="2">
        <v>10</v>
      </c>
      <c r="D727" s="2">
        <v>1</v>
      </c>
      <c r="E727" s="2">
        <v>1</v>
      </c>
      <c r="F727" s="2">
        <v>2.32988016668242</v>
      </c>
      <c r="G727" s="2" t="s">
        <v>1560</v>
      </c>
      <c r="H727" s="2" t="s">
        <v>1449</v>
      </c>
      <c r="I727" s="2" t="s">
        <v>16</v>
      </c>
      <c r="J727" s="2" t="s">
        <v>1561</v>
      </c>
      <c r="K727" s="2">
        <v>185.54936812492099</v>
      </c>
      <c r="L727" s="2">
        <v>187.87926212500301</v>
      </c>
      <c r="M727" s="2">
        <v>59.735074969738001</v>
      </c>
    </row>
    <row r="728" spans="1:13" x14ac:dyDescent="0.2">
      <c r="A728" s="2" t="s">
        <v>1361</v>
      </c>
      <c r="B728" s="2">
        <v>127</v>
      </c>
      <c r="C728" s="2">
        <v>5</v>
      </c>
      <c r="D728" s="2">
        <v>1</v>
      </c>
      <c r="E728" s="2">
        <v>1</v>
      </c>
      <c r="F728" s="2">
        <v>1.5644284166628499</v>
      </c>
      <c r="G728" s="2" t="s">
        <v>623</v>
      </c>
      <c r="H728" s="2" t="s">
        <v>1398</v>
      </c>
      <c r="I728" s="2" t="s">
        <v>16</v>
      </c>
      <c r="J728" s="2" t="s">
        <v>1562</v>
      </c>
      <c r="K728" s="2">
        <v>187.881125666667</v>
      </c>
      <c r="L728" s="2">
        <v>189.44556825002701</v>
      </c>
      <c r="M728" s="2">
        <v>59.735074969738001</v>
      </c>
    </row>
    <row r="729" spans="1:13" x14ac:dyDescent="0.2">
      <c r="A729" s="2" t="s">
        <v>1361</v>
      </c>
      <c r="B729" s="2">
        <v>128</v>
      </c>
      <c r="C729" s="2">
        <v>5</v>
      </c>
      <c r="D729" s="2">
        <v>1</v>
      </c>
      <c r="E729" s="2">
        <v>1</v>
      </c>
      <c r="F729" s="2">
        <v>1.1814367916667801</v>
      </c>
      <c r="G729" s="2" t="s">
        <v>1525</v>
      </c>
      <c r="H729" s="2" t="s">
        <v>1082</v>
      </c>
      <c r="I729" s="2" t="s">
        <v>16</v>
      </c>
      <c r="J729" s="2" t="s">
        <v>1563</v>
      </c>
      <c r="K729" s="2">
        <v>189.44749674992599</v>
      </c>
      <c r="L729" s="2">
        <v>190.62894612492499</v>
      </c>
      <c r="M729" s="2">
        <v>59.735074969738001</v>
      </c>
    </row>
    <row r="730" spans="1:13" x14ac:dyDescent="0.2">
      <c r="A730" s="2" t="s">
        <v>1361</v>
      </c>
      <c r="B730" s="2">
        <v>129</v>
      </c>
      <c r="C730" s="2">
        <v>10</v>
      </c>
      <c r="D730" s="2">
        <v>1</v>
      </c>
      <c r="E730" s="2">
        <v>1</v>
      </c>
      <c r="F730" s="2">
        <v>1.3301507083233499</v>
      </c>
      <c r="G730" s="2" t="s">
        <v>715</v>
      </c>
      <c r="H730" s="2" t="s">
        <v>46</v>
      </c>
      <c r="I730" s="2" t="s">
        <v>16</v>
      </c>
      <c r="J730" s="2" t="s">
        <v>1564</v>
      </c>
      <c r="K730" s="2">
        <v>190.63240054168301</v>
      </c>
      <c r="L730" s="2">
        <v>191.96256354160101</v>
      </c>
      <c r="M730" s="2">
        <v>59.735074969738001</v>
      </c>
    </row>
    <row r="731" spans="1:13" x14ac:dyDescent="0.2">
      <c r="A731" s="2" t="s">
        <v>1361</v>
      </c>
      <c r="B731" s="2">
        <v>130</v>
      </c>
      <c r="C731" s="2">
        <v>5</v>
      </c>
      <c r="D731" s="2">
        <v>1</v>
      </c>
      <c r="E731" s="2">
        <v>1</v>
      </c>
      <c r="F731" s="2">
        <v>1.04814829165116</v>
      </c>
      <c r="G731" s="2" t="s">
        <v>989</v>
      </c>
      <c r="H731" s="2" t="s">
        <v>1565</v>
      </c>
      <c r="I731" s="2" t="s">
        <v>16</v>
      </c>
      <c r="J731" s="2" t="s">
        <v>1566</v>
      </c>
      <c r="K731" s="2">
        <v>191.96437599998899</v>
      </c>
      <c r="L731" s="2">
        <v>193.012548583327</v>
      </c>
      <c r="M731" s="2">
        <v>59.735074969738001</v>
      </c>
    </row>
    <row r="732" spans="1:13" x14ac:dyDescent="0.2">
      <c r="A732" s="2" t="s">
        <v>1361</v>
      </c>
      <c r="B732" s="2">
        <v>131</v>
      </c>
      <c r="C732" s="2">
        <v>5</v>
      </c>
      <c r="D732" s="2">
        <v>1</v>
      </c>
      <c r="E732" s="2">
        <v>1</v>
      </c>
      <c r="F732" s="2">
        <v>1.3642078334232799</v>
      </c>
      <c r="G732" s="2" t="s">
        <v>1263</v>
      </c>
      <c r="H732" s="2" t="s">
        <v>1567</v>
      </c>
      <c r="I732" s="2" t="s">
        <v>16</v>
      </c>
      <c r="J732" s="2" t="s">
        <v>1568</v>
      </c>
      <c r="K732" s="2">
        <v>193.01455704169399</v>
      </c>
      <c r="L732" s="2">
        <v>194.37878533324701</v>
      </c>
      <c r="M732" s="2">
        <v>59.735074969738001</v>
      </c>
    </row>
    <row r="733" spans="1:13" x14ac:dyDescent="0.2">
      <c r="A733" s="2" t="s">
        <v>1361</v>
      </c>
      <c r="B733" s="2">
        <v>132</v>
      </c>
      <c r="C733" s="2">
        <v>10</v>
      </c>
      <c r="D733" s="2">
        <v>1</v>
      </c>
      <c r="E733" s="2">
        <v>1</v>
      </c>
      <c r="F733" s="2">
        <v>1.3635268333600801</v>
      </c>
      <c r="G733" s="2" t="s">
        <v>758</v>
      </c>
      <c r="H733" s="2" t="s">
        <v>1285</v>
      </c>
      <c r="I733" s="2" t="s">
        <v>16</v>
      </c>
      <c r="J733" s="2" t="s">
        <v>1569</v>
      </c>
      <c r="K733" s="2">
        <v>194.382313499926</v>
      </c>
      <c r="L733" s="2">
        <v>195.74585462501301</v>
      </c>
      <c r="M733" s="2">
        <v>59.735074969738001</v>
      </c>
    </row>
    <row r="734" spans="1:13" x14ac:dyDescent="0.2">
      <c r="A734" s="2" t="s">
        <v>1361</v>
      </c>
      <c r="B734" s="2">
        <v>133</v>
      </c>
      <c r="C734" s="2">
        <v>10</v>
      </c>
      <c r="D734" s="2">
        <v>1</v>
      </c>
      <c r="E734" s="2">
        <v>1</v>
      </c>
      <c r="F734" s="2">
        <v>1.46278425003402</v>
      </c>
      <c r="G734" s="2" t="s">
        <v>1507</v>
      </c>
      <c r="H734" s="2" t="s">
        <v>1142</v>
      </c>
      <c r="I734" s="2" t="s">
        <v>16</v>
      </c>
      <c r="J734" s="2" t="s">
        <v>1570</v>
      </c>
      <c r="K734" s="2">
        <v>195.74969845835599</v>
      </c>
      <c r="L734" s="2">
        <v>197.212495708256</v>
      </c>
      <c r="M734" s="2">
        <v>59.735074969738001</v>
      </c>
    </row>
    <row r="735" spans="1:13" x14ac:dyDescent="0.2">
      <c r="A735" s="2" t="s">
        <v>1361</v>
      </c>
      <c r="B735" s="2">
        <v>134</v>
      </c>
      <c r="C735" s="2">
        <v>10</v>
      </c>
      <c r="D735" s="2">
        <v>1</v>
      </c>
      <c r="E735" s="2">
        <v>1</v>
      </c>
      <c r="F735" s="2">
        <v>1.2965432499768199</v>
      </c>
      <c r="G735" s="2" t="s">
        <v>517</v>
      </c>
      <c r="H735" s="2" t="s">
        <v>1541</v>
      </c>
      <c r="I735" s="2" t="s">
        <v>16</v>
      </c>
      <c r="J735" s="2" t="s">
        <v>1571</v>
      </c>
      <c r="K735" s="2">
        <v>197.21604712493701</v>
      </c>
      <c r="L735" s="2">
        <v>198.51260454161101</v>
      </c>
      <c r="M735" s="2">
        <v>59.735074969738001</v>
      </c>
    </row>
    <row r="736" spans="1:13" x14ac:dyDescent="0.2">
      <c r="A736" s="2" t="s">
        <v>1361</v>
      </c>
      <c r="B736" s="2">
        <v>135</v>
      </c>
      <c r="C736" s="2">
        <v>10</v>
      </c>
      <c r="D736" s="2">
        <v>1</v>
      </c>
      <c r="E736" s="2">
        <v>1</v>
      </c>
      <c r="F736" s="2">
        <v>1.4131457917392301</v>
      </c>
      <c r="G736" s="2" t="s">
        <v>667</v>
      </c>
      <c r="H736" s="2" t="s">
        <v>1400</v>
      </c>
      <c r="I736" s="2" t="s">
        <v>16</v>
      </c>
      <c r="J736" s="2" t="s">
        <v>1572</v>
      </c>
      <c r="K736" s="2">
        <v>198.516067458317</v>
      </c>
      <c r="L736" s="2">
        <v>199.92923024995301</v>
      </c>
      <c r="M736" s="2">
        <v>59.735074969738001</v>
      </c>
    </row>
    <row r="737" spans="1:13" x14ac:dyDescent="0.2">
      <c r="A737" s="2" t="s">
        <v>1361</v>
      </c>
      <c r="B737" s="2">
        <v>136</v>
      </c>
      <c r="C737" s="2">
        <v>10</v>
      </c>
      <c r="D737" s="2">
        <v>1</v>
      </c>
      <c r="E737" s="2">
        <v>1</v>
      </c>
      <c r="F737" s="2">
        <v>2.1963708749972302</v>
      </c>
      <c r="G737" s="2" t="s">
        <v>572</v>
      </c>
      <c r="H737" s="2" t="s">
        <v>385</v>
      </c>
      <c r="I737" s="2" t="s">
        <v>16</v>
      </c>
      <c r="J737" s="2" t="s">
        <v>1573</v>
      </c>
      <c r="K737" s="2">
        <v>199.93284833326501</v>
      </c>
      <c r="L737" s="2">
        <v>202.12923474994</v>
      </c>
      <c r="M737" s="2">
        <v>59.735074969738001</v>
      </c>
    </row>
    <row r="738" spans="1:13" x14ac:dyDescent="0.2">
      <c r="A738" s="2" t="s">
        <v>1361</v>
      </c>
      <c r="B738" s="2">
        <v>137</v>
      </c>
      <c r="C738" s="2">
        <v>5</v>
      </c>
      <c r="D738" s="2">
        <v>1</v>
      </c>
      <c r="E738" s="2">
        <v>1</v>
      </c>
      <c r="F738" s="2">
        <v>0.99816583329811703</v>
      </c>
      <c r="G738" s="2" t="s">
        <v>742</v>
      </c>
      <c r="H738" s="2" t="s">
        <v>1574</v>
      </c>
      <c r="I738" s="2" t="s">
        <v>16</v>
      </c>
      <c r="J738" s="2" t="s">
        <v>1575</v>
      </c>
      <c r="K738" s="2">
        <v>202.131240958348</v>
      </c>
      <c r="L738" s="2">
        <v>203.129426416592</v>
      </c>
      <c r="M738" s="2">
        <v>59.735074969738001</v>
      </c>
    </row>
    <row r="739" spans="1:13" x14ac:dyDescent="0.2">
      <c r="A739" s="2" t="s">
        <v>1361</v>
      </c>
      <c r="B739" s="2">
        <v>138</v>
      </c>
      <c r="C739" s="2">
        <v>10</v>
      </c>
      <c r="D739" s="2">
        <v>1</v>
      </c>
      <c r="E739" s="2">
        <v>1</v>
      </c>
      <c r="F739" s="2">
        <v>1.1954874166986</v>
      </c>
      <c r="G739" s="2" t="s">
        <v>1576</v>
      </c>
      <c r="H739" s="2" t="s">
        <v>152</v>
      </c>
      <c r="I739" s="2" t="s">
        <v>16</v>
      </c>
      <c r="J739" s="2" t="s">
        <v>1577</v>
      </c>
      <c r="K739" s="2">
        <v>203.133597041597</v>
      </c>
      <c r="L739" s="2">
        <v>204.32909979159001</v>
      </c>
      <c r="M739" s="2">
        <v>59.735074969738001</v>
      </c>
    </row>
    <row r="740" spans="1:13" x14ac:dyDescent="0.2">
      <c r="A740" s="2" t="s">
        <v>1361</v>
      </c>
      <c r="B740" s="2">
        <v>139</v>
      </c>
      <c r="C740" s="2">
        <v>10</v>
      </c>
      <c r="D740" s="2">
        <v>1</v>
      </c>
      <c r="E740" s="2">
        <v>1</v>
      </c>
      <c r="F740" s="2">
        <v>1.28019233339001</v>
      </c>
      <c r="G740" s="2" t="s">
        <v>555</v>
      </c>
      <c r="H740" s="2" t="s">
        <v>1019</v>
      </c>
      <c r="I740" s="2" t="s">
        <v>16</v>
      </c>
      <c r="J740" s="2" t="s">
        <v>1578</v>
      </c>
      <c r="K740" s="2">
        <v>204.33269408333601</v>
      </c>
      <c r="L740" s="2">
        <v>205.61291341658199</v>
      </c>
      <c r="M740" s="2">
        <v>59.735074969738001</v>
      </c>
    </row>
    <row r="741" spans="1:13" x14ac:dyDescent="0.2">
      <c r="A741" s="2" t="s">
        <v>1361</v>
      </c>
      <c r="B741" s="2">
        <v>140</v>
      </c>
      <c r="C741" s="2">
        <v>10</v>
      </c>
      <c r="D741" s="2">
        <v>1</v>
      </c>
      <c r="E741" s="2">
        <v>1</v>
      </c>
      <c r="F741" s="2">
        <v>1.8959869167301799</v>
      </c>
      <c r="G741" s="2" t="s">
        <v>169</v>
      </c>
      <c r="H741" s="2" t="s">
        <v>248</v>
      </c>
      <c r="I741" s="2" t="s">
        <v>16</v>
      </c>
      <c r="J741" s="2" t="s">
        <v>1579</v>
      </c>
      <c r="K741" s="2">
        <v>205.616541791591</v>
      </c>
      <c r="L741" s="2">
        <v>207.51254154159699</v>
      </c>
      <c r="M741" s="2">
        <v>59.735074969738001</v>
      </c>
    </row>
    <row r="742" spans="1:13" x14ac:dyDescent="0.2">
      <c r="A742" s="2" t="s">
        <v>1361</v>
      </c>
      <c r="B742" s="2">
        <v>141</v>
      </c>
      <c r="C742" s="2">
        <v>5</v>
      </c>
      <c r="D742" s="2">
        <v>1</v>
      </c>
      <c r="E742" s="2">
        <v>1</v>
      </c>
      <c r="F742" s="2">
        <v>1.6813450416084399</v>
      </c>
      <c r="G742" s="2" t="s">
        <v>1327</v>
      </c>
      <c r="H742" s="2" t="s">
        <v>807</v>
      </c>
      <c r="I742" s="2" t="s">
        <v>16</v>
      </c>
      <c r="J742" s="2" t="s">
        <v>1580</v>
      </c>
      <c r="K742" s="2">
        <v>207.51444858335901</v>
      </c>
      <c r="L742" s="2">
        <v>209.19580770831101</v>
      </c>
      <c r="M742" s="2">
        <v>59.735074969738001</v>
      </c>
    </row>
    <row r="743" spans="1:13" x14ac:dyDescent="0.2">
      <c r="A743" s="2" t="s">
        <v>1361</v>
      </c>
      <c r="B743" s="2">
        <v>142</v>
      </c>
      <c r="C743" s="2">
        <v>10</v>
      </c>
      <c r="D743" s="2">
        <v>1</v>
      </c>
      <c r="E743" s="2">
        <v>1</v>
      </c>
      <c r="F743" s="2">
        <v>1.11305145837832</v>
      </c>
      <c r="G743" s="2" t="s">
        <v>1581</v>
      </c>
      <c r="H743" s="2" t="s">
        <v>566</v>
      </c>
      <c r="I743" s="2" t="s">
        <v>16</v>
      </c>
      <c r="J743" s="2" t="s">
        <v>1582</v>
      </c>
      <c r="K743" s="2">
        <v>209.199333791621</v>
      </c>
      <c r="L743" s="2">
        <v>210.312397666625</v>
      </c>
      <c r="M743" s="2">
        <v>59.735074969738001</v>
      </c>
    </row>
    <row r="744" spans="1:13" x14ac:dyDescent="0.2">
      <c r="A744" s="2" t="s">
        <v>1361</v>
      </c>
      <c r="B744" s="2">
        <v>143</v>
      </c>
      <c r="C744" s="2">
        <v>10</v>
      </c>
      <c r="D744" s="2">
        <v>1</v>
      </c>
      <c r="E744" s="2">
        <v>1</v>
      </c>
      <c r="F744" s="2">
        <v>1.23002104170155</v>
      </c>
      <c r="G744" s="2" t="s">
        <v>224</v>
      </c>
      <c r="H744" s="2" t="s">
        <v>251</v>
      </c>
      <c r="I744" s="2" t="s">
        <v>16</v>
      </c>
      <c r="J744" s="2" t="s">
        <v>1583</v>
      </c>
      <c r="K744" s="2">
        <v>210.31590862502301</v>
      </c>
      <c r="L744" s="2">
        <v>211.54595108330301</v>
      </c>
      <c r="M744" s="2">
        <v>59.735074969738001</v>
      </c>
    </row>
    <row r="745" spans="1:13" x14ac:dyDescent="0.2">
      <c r="A745" s="2" t="s">
        <v>1361</v>
      </c>
      <c r="B745" s="2">
        <v>144</v>
      </c>
      <c r="C745" s="2">
        <v>5</v>
      </c>
      <c r="D745" s="2">
        <v>1</v>
      </c>
      <c r="E745" s="2">
        <v>1</v>
      </c>
      <c r="F745" s="2">
        <v>1.6314545000204801</v>
      </c>
      <c r="G745" s="2" t="s">
        <v>1328</v>
      </c>
      <c r="H745" s="2" t="s">
        <v>1584</v>
      </c>
      <c r="I745" s="2" t="s">
        <v>16</v>
      </c>
      <c r="J745" s="2" t="s">
        <v>1585</v>
      </c>
      <c r="K745" s="2">
        <v>211.547972291592</v>
      </c>
      <c r="L745" s="2">
        <v>213.179451708333</v>
      </c>
      <c r="M745" s="2">
        <v>59.735074969738001</v>
      </c>
    </row>
    <row r="746" spans="1:13" x14ac:dyDescent="0.2">
      <c r="A746" s="2" t="s">
        <v>1361</v>
      </c>
      <c r="B746" s="2">
        <v>145</v>
      </c>
      <c r="C746" s="2">
        <v>5</v>
      </c>
      <c r="D746" s="2">
        <v>1</v>
      </c>
      <c r="E746" s="2">
        <v>1</v>
      </c>
      <c r="F746" s="2">
        <v>1.2474357916507901</v>
      </c>
      <c r="G746" s="2" t="s">
        <v>1586</v>
      </c>
      <c r="H746" s="2" t="s">
        <v>1234</v>
      </c>
      <c r="I746" s="2" t="s">
        <v>16</v>
      </c>
      <c r="J746" s="2" t="s">
        <v>1587</v>
      </c>
      <c r="K746" s="2">
        <v>213.18159487494299</v>
      </c>
      <c r="L746" s="2">
        <v>214.42904412502</v>
      </c>
      <c r="M746" s="2">
        <v>59.735074969738001</v>
      </c>
    </row>
    <row r="747" spans="1:13" x14ac:dyDescent="0.2">
      <c r="A747" s="2" t="s">
        <v>1361</v>
      </c>
      <c r="B747" s="2">
        <v>146</v>
      </c>
      <c r="C747" s="2">
        <v>10</v>
      </c>
      <c r="D747" s="2">
        <v>1</v>
      </c>
      <c r="E747" s="2">
        <v>1</v>
      </c>
      <c r="F747" s="2">
        <v>1.06301233335398</v>
      </c>
      <c r="G747" s="2" t="s">
        <v>834</v>
      </c>
      <c r="H747" s="2" t="s">
        <v>1082</v>
      </c>
      <c r="I747" s="2" t="s">
        <v>16</v>
      </c>
      <c r="J747" s="2" t="s">
        <v>1588</v>
      </c>
      <c r="K747" s="2">
        <v>214.43262695835401</v>
      </c>
      <c r="L747" s="2">
        <v>215.49565295828501</v>
      </c>
      <c r="M747" s="2">
        <v>59.735074969738001</v>
      </c>
    </row>
    <row r="748" spans="1:13" x14ac:dyDescent="0.2">
      <c r="A748" s="2" t="s">
        <v>1361</v>
      </c>
      <c r="B748" s="2">
        <v>147</v>
      </c>
      <c r="C748" s="2">
        <v>10</v>
      </c>
      <c r="D748" s="2">
        <v>1</v>
      </c>
      <c r="E748" s="2">
        <v>1</v>
      </c>
      <c r="F748" s="2">
        <v>1.19650891667698</v>
      </c>
      <c r="G748" s="2" t="s">
        <v>431</v>
      </c>
      <c r="H748" s="2" t="s">
        <v>278</v>
      </c>
      <c r="I748" s="2" t="s">
        <v>16</v>
      </c>
      <c r="J748" s="2" t="s">
        <v>1589</v>
      </c>
      <c r="K748" s="2">
        <v>215.49930858332701</v>
      </c>
      <c r="L748" s="2">
        <v>216.69583066669301</v>
      </c>
      <c r="M748" s="2">
        <v>59.735074969738001</v>
      </c>
    </row>
    <row r="749" spans="1:13" x14ac:dyDescent="0.2">
      <c r="A749" s="2" t="s">
        <v>1361</v>
      </c>
      <c r="B749" s="2">
        <v>148</v>
      </c>
      <c r="C749" s="2">
        <v>5</v>
      </c>
      <c r="D749" s="2">
        <v>1</v>
      </c>
      <c r="E749" s="2">
        <v>1</v>
      </c>
      <c r="F749" s="2">
        <v>1.59826495836023</v>
      </c>
      <c r="G749" s="2" t="s">
        <v>55</v>
      </c>
      <c r="H749" s="2" t="s">
        <v>411</v>
      </c>
      <c r="I749" s="2" t="s">
        <v>16</v>
      </c>
      <c r="J749" s="2" t="s">
        <v>1590</v>
      </c>
      <c r="K749" s="2">
        <v>216.697764041601</v>
      </c>
      <c r="L749" s="2">
        <v>218.29604087502199</v>
      </c>
      <c r="M749" s="2">
        <v>59.735074969738001</v>
      </c>
    </row>
    <row r="750" spans="1:13" x14ac:dyDescent="0.2">
      <c r="A750" s="2" t="s">
        <v>1361</v>
      </c>
      <c r="B750" s="2">
        <v>149</v>
      </c>
      <c r="C750" s="2">
        <v>10</v>
      </c>
      <c r="D750" s="2">
        <v>1</v>
      </c>
      <c r="E750" s="2">
        <v>1</v>
      </c>
      <c r="F750" s="2">
        <v>0.92957599996589102</v>
      </c>
      <c r="G750" s="2" t="s">
        <v>1453</v>
      </c>
      <c r="H750" s="2" t="s">
        <v>750</v>
      </c>
      <c r="I750" s="2" t="s">
        <v>16</v>
      </c>
      <c r="J750" s="2" t="s">
        <v>1591</v>
      </c>
      <c r="K750" s="2">
        <v>218.299491708283</v>
      </c>
      <c r="L750" s="2">
        <v>219.22909862501601</v>
      </c>
      <c r="M750" s="2">
        <v>59.735074969738001</v>
      </c>
    </row>
    <row r="751" spans="1:13" x14ac:dyDescent="0.2">
      <c r="A751" s="2" t="s">
        <v>1361</v>
      </c>
      <c r="B751" s="2">
        <v>150</v>
      </c>
      <c r="C751" s="2">
        <v>10</v>
      </c>
      <c r="D751" s="2">
        <v>1</v>
      </c>
      <c r="E751" s="2">
        <v>1</v>
      </c>
      <c r="F751" s="2">
        <v>1.2127691250061601</v>
      </c>
      <c r="G751" s="2" t="s">
        <v>1592</v>
      </c>
      <c r="H751" s="2" t="s">
        <v>900</v>
      </c>
      <c r="I751" s="2" t="s">
        <v>16</v>
      </c>
      <c r="J751" s="2" t="s">
        <v>1593</v>
      </c>
      <c r="K751" s="2">
        <v>219.23273737495799</v>
      </c>
      <c r="L751" s="2">
        <v>220.445520750014</v>
      </c>
      <c r="M751" s="2">
        <v>59.735074969738001</v>
      </c>
    </row>
    <row r="752" spans="1:13" x14ac:dyDescent="0.2">
      <c r="A752" s="2" t="s">
        <v>1361</v>
      </c>
      <c r="B752" s="2">
        <v>151</v>
      </c>
      <c r="C752" s="2">
        <v>5</v>
      </c>
      <c r="D752" s="2">
        <v>1</v>
      </c>
      <c r="E752" s="2">
        <v>1</v>
      </c>
      <c r="F752" s="2">
        <v>1.2649273333372599</v>
      </c>
      <c r="G752" s="2" t="s">
        <v>315</v>
      </c>
      <c r="H752" s="2" t="s">
        <v>911</v>
      </c>
      <c r="I752" s="2" t="s">
        <v>16</v>
      </c>
      <c r="J752" s="2" t="s">
        <v>1594</v>
      </c>
      <c r="K752" s="2">
        <v>220.44750054169</v>
      </c>
      <c r="L752" s="2">
        <v>221.712442208314</v>
      </c>
      <c r="M752" s="2">
        <v>59.735074969738001</v>
      </c>
    </row>
    <row r="753" spans="1:13" x14ac:dyDescent="0.2">
      <c r="A753" s="2" t="s">
        <v>1361</v>
      </c>
      <c r="B753" s="2">
        <v>152</v>
      </c>
      <c r="C753" s="2">
        <v>5</v>
      </c>
      <c r="D753" s="2">
        <v>1</v>
      </c>
      <c r="E753" s="2">
        <v>1</v>
      </c>
      <c r="F753" s="2">
        <v>1.5483808333519899</v>
      </c>
      <c r="G753" s="2" t="s">
        <v>1181</v>
      </c>
      <c r="H753" s="2" t="s">
        <v>1595</v>
      </c>
      <c r="I753" s="2" t="s">
        <v>16</v>
      </c>
      <c r="J753" s="2" t="s">
        <v>1596</v>
      </c>
      <c r="K753" s="2">
        <v>221.71443950000699</v>
      </c>
      <c r="L753" s="2">
        <v>223.262840125011</v>
      </c>
      <c r="M753" s="2">
        <v>59.735074969738001</v>
      </c>
    </row>
    <row r="754" spans="1:13" x14ac:dyDescent="0.2">
      <c r="A754" s="2" t="s">
        <v>1361</v>
      </c>
      <c r="B754" s="2">
        <v>153</v>
      </c>
      <c r="C754" s="2">
        <v>5</v>
      </c>
      <c r="D754" s="2">
        <v>1</v>
      </c>
      <c r="E754" s="2">
        <v>1</v>
      </c>
      <c r="F754" s="2">
        <v>1.43082504172344</v>
      </c>
      <c r="G754" s="2" t="s">
        <v>915</v>
      </c>
      <c r="H754" s="2" t="s">
        <v>1574</v>
      </c>
      <c r="I754" s="2" t="s">
        <v>16</v>
      </c>
      <c r="J754" s="2" t="s">
        <v>1597</v>
      </c>
      <c r="K754" s="2">
        <v>223.26496225001799</v>
      </c>
      <c r="L754" s="2">
        <v>224.695801208261</v>
      </c>
      <c r="M754" s="2">
        <v>59.735074969738001</v>
      </c>
    </row>
    <row r="755" spans="1:13" x14ac:dyDescent="0.2">
      <c r="A755" s="2" t="s">
        <v>1361</v>
      </c>
      <c r="B755" s="2">
        <v>154</v>
      </c>
      <c r="C755" s="2">
        <v>10</v>
      </c>
      <c r="D755" s="2">
        <v>2</v>
      </c>
      <c r="E755" s="2">
        <v>0</v>
      </c>
      <c r="F755" s="2">
        <v>1.6962893333984499</v>
      </c>
      <c r="G755" s="2" t="s">
        <v>1598</v>
      </c>
      <c r="H755" s="2" t="s">
        <v>1599</v>
      </c>
      <c r="I755" s="2" t="s">
        <v>23</v>
      </c>
      <c r="J755" s="2" t="s">
        <v>1600</v>
      </c>
      <c r="K755" s="2">
        <v>224.699350916664</v>
      </c>
      <c r="L755" s="2">
        <v>226.39565412502299</v>
      </c>
      <c r="M755" s="2">
        <v>59.735074969738001</v>
      </c>
    </row>
    <row r="756" spans="1:13" x14ac:dyDescent="0.2">
      <c r="A756" s="2" t="s">
        <v>1361</v>
      </c>
      <c r="B756" s="2">
        <v>155</v>
      </c>
      <c r="C756" s="2">
        <v>5</v>
      </c>
      <c r="D756" s="2">
        <v>1</v>
      </c>
      <c r="E756" s="2">
        <v>1</v>
      </c>
      <c r="F756" s="2">
        <v>1.1312610832974299</v>
      </c>
      <c r="G756" s="2" t="s">
        <v>638</v>
      </c>
      <c r="H756" s="2" t="s">
        <v>406</v>
      </c>
      <c r="I756" s="2" t="s">
        <v>16</v>
      </c>
      <c r="J756" s="2" t="s">
        <v>1601</v>
      </c>
      <c r="K756" s="2">
        <v>226.39782766660201</v>
      </c>
      <c r="L756" s="2">
        <v>227.52910045825399</v>
      </c>
      <c r="M756" s="2">
        <v>59.735074969738001</v>
      </c>
    </row>
    <row r="757" spans="1:13" x14ac:dyDescent="0.2">
      <c r="A757" s="2" t="s">
        <v>1361</v>
      </c>
      <c r="B757" s="2">
        <v>156</v>
      </c>
      <c r="C757" s="2">
        <v>10</v>
      </c>
      <c r="D757" s="2">
        <v>1</v>
      </c>
      <c r="E757" s="2">
        <v>1</v>
      </c>
      <c r="F757" s="2">
        <v>0.96308725001290396</v>
      </c>
      <c r="G757" s="2" t="s">
        <v>990</v>
      </c>
      <c r="H757" s="2" t="s">
        <v>1096</v>
      </c>
      <c r="I757" s="2" t="s">
        <v>16</v>
      </c>
      <c r="J757" s="2" t="s">
        <v>1602</v>
      </c>
      <c r="K757" s="2">
        <v>227.532557416591</v>
      </c>
      <c r="L757" s="2">
        <v>228.49565699999201</v>
      </c>
      <c r="M757" s="2">
        <v>59.735074969738001</v>
      </c>
    </row>
    <row r="758" spans="1:13" x14ac:dyDescent="0.2">
      <c r="A758" s="2" t="s">
        <v>1361</v>
      </c>
      <c r="B758" s="2">
        <v>157</v>
      </c>
      <c r="C758" s="2">
        <v>5</v>
      </c>
      <c r="D758" s="2">
        <v>1</v>
      </c>
      <c r="E758" s="2">
        <v>1</v>
      </c>
      <c r="F758" s="2">
        <v>1.04810891672969</v>
      </c>
      <c r="G758" s="2" t="s">
        <v>1356</v>
      </c>
      <c r="H758" s="2" t="s">
        <v>88</v>
      </c>
      <c r="I758" s="2" t="s">
        <v>16</v>
      </c>
      <c r="J758" s="2" t="s">
        <v>1603</v>
      </c>
      <c r="K758" s="2">
        <v>228.497547874926</v>
      </c>
      <c r="L758" s="2">
        <v>229.545672499924</v>
      </c>
      <c r="M758" s="2">
        <v>59.735074969738001</v>
      </c>
    </row>
    <row r="759" spans="1:13" x14ac:dyDescent="0.2">
      <c r="A759" s="2" t="s">
        <v>1361</v>
      </c>
      <c r="B759" s="2">
        <v>158</v>
      </c>
      <c r="C759" s="2">
        <v>10</v>
      </c>
      <c r="D759" s="2">
        <v>1</v>
      </c>
      <c r="E759" s="2">
        <v>1</v>
      </c>
      <c r="F759" s="2">
        <v>1.94640679168515</v>
      </c>
      <c r="G759" s="2" t="s">
        <v>569</v>
      </c>
      <c r="H759" s="2" t="s">
        <v>296</v>
      </c>
      <c r="I759" s="2" t="s">
        <v>16</v>
      </c>
      <c r="J759" s="2" t="s">
        <v>1604</v>
      </c>
      <c r="K759" s="2">
        <v>229.549288958311</v>
      </c>
      <c r="L759" s="2">
        <v>231.49571108329101</v>
      </c>
      <c r="M759" s="2">
        <v>59.735074969738001</v>
      </c>
    </row>
    <row r="760" spans="1:13" x14ac:dyDescent="0.2">
      <c r="A760" s="2" t="s">
        <v>1361</v>
      </c>
      <c r="B760" s="2">
        <v>159</v>
      </c>
      <c r="C760" s="2">
        <v>10</v>
      </c>
      <c r="D760" s="2">
        <v>2</v>
      </c>
      <c r="E760" s="2">
        <v>0</v>
      </c>
      <c r="F760" s="2">
        <v>2.0797321666032098</v>
      </c>
      <c r="G760" s="2" t="s">
        <v>1605</v>
      </c>
      <c r="H760" s="2" t="s">
        <v>1606</v>
      </c>
      <c r="I760" s="2" t="s">
        <v>23</v>
      </c>
      <c r="J760" s="2" t="s">
        <v>1607</v>
      </c>
      <c r="K760" s="2">
        <v>231.49930441658901</v>
      </c>
      <c r="L760" s="2">
        <v>233.57905912492399</v>
      </c>
      <c r="M760" s="2">
        <v>59.735074969738001</v>
      </c>
    </row>
    <row r="761" spans="1:13" x14ac:dyDescent="0.2">
      <c r="A761" s="2" t="s">
        <v>1361</v>
      </c>
      <c r="B761" s="2">
        <v>160</v>
      </c>
      <c r="C761" s="2">
        <v>10</v>
      </c>
      <c r="D761" s="2">
        <v>1</v>
      </c>
      <c r="E761" s="2">
        <v>1</v>
      </c>
      <c r="F761" s="2">
        <v>0.99638016673270602</v>
      </c>
      <c r="G761" s="2" t="s">
        <v>1608</v>
      </c>
      <c r="H761" s="2" t="s">
        <v>153</v>
      </c>
      <c r="I761" s="2" t="s">
        <v>16</v>
      </c>
      <c r="J761" s="2" t="s">
        <v>1609</v>
      </c>
      <c r="K761" s="2">
        <v>233.58268508326699</v>
      </c>
      <c r="L761" s="2">
        <v>234.57908075000199</v>
      </c>
      <c r="M761" s="2">
        <v>59.735074969738001</v>
      </c>
    </row>
    <row r="762" spans="1:13" x14ac:dyDescent="0.2">
      <c r="A762" s="2" t="s">
        <v>1361</v>
      </c>
      <c r="B762" s="2">
        <v>161</v>
      </c>
      <c r="C762" s="2">
        <v>5</v>
      </c>
      <c r="D762" s="2">
        <v>1</v>
      </c>
      <c r="E762" s="2">
        <v>1</v>
      </c>
      <c r="F762" s="2">
        <v>1.2812624166254001</v>
      </c>
      <c r="G762" s="2" t="s">
        <v>146</v>
      </c>
      <c r="H762" s="2" t="s">
        <v>505</v>
      </c>
      <c r="I762" s="2" t="s">
        <v>16</v>
      </c>
      <c r="J762" s="2" t="s">
        <v>1610</v>
      </c>
      <c r="K762" s="2">
        <v>234.58106858329899</v>
      </c>
      <c r="L762" s="2">
        <v>235.86234420829001</v>
      </c>
      <c r="M762" s="2">
        <v>59.735074969738001</v>
      </c>
    </row>
    <row r="763" spans="1:13" x14ac:dyDescent="0.2">
      <c r="A763" s="2" t="s">
        <v>1361</v>
      </c>
      <c r="B763" s="2">
        <v>162</v>
      </c>
      <c r="C763" s="2">
        <v>5</v>
      </c>
      <c r="D763" s="2">
        <v>1</v>
      </c>
      <c r="E763" s="2">
        <v>1</v>
      </c>
      <c r="F763" s="2">
        <v>1.0812768333125899</v>
      </c>
      <c r="G763" s="2" t="s">
        <v>1611</v>
      </c>
      <c r="H763" s="2" t="s">
        <v>436</v>
      </c>
      <c r="I763" s="2" t="s">
        <v>16</v>
      </c>
      <c r="J763" s="2" t="s">
        <v>1612</v>
      </c>
      <c r="K763" s="2">
        <v>235.86426283326</v>
      </c>
      <c r="L763" s="2">
        <v>236.945552583318</v>
      </c>
      <c r="M763" s="2">
        <v>59.735074969738001</v>
      </c>
    </row>
    <row r="764" spans="1:13" x14ac:dyDescent="0.2">
      <c r="A764" s="2" t="s">
        <v>1361</v>
      </c>
      <c r="B764" s="2">
        <v>163</v>
      </c>
      <c r="C764" s="2">
        <v>5</v>
      </c>
      <c r="D764" s="2">
        <v>1</v>
      </c>
      <c r="E764" s="2">
        <v>1</v>
      </c>
      <c r="F764" s="2">
        <v>1.7482970000710301</v>
      </c>
      <c r="G764" s="2" t="s">
        <v>545</v>
      </c>
      <c r="H764" s="2" t="s">
        <v>25</v>
      </c>
      <c r="I764" s="2" t="s">
        <v>16</v>
      </c>
      <c r="J764" s="2" t="s">
        <v>1613</v>
      </c>
      <c r="K764" s="2">
        <v>236.94746887497601</v>
      </c>
      <c r="L764" s="2">
        <v>238.695776958251</v>
      </c>
      <c r="M764" s="2">
        <v>59.735074969738001</v>
      </c>
    </row>
    <row r="765" spans="1:13" x14ac:dyDescent="0.2">
      <c r="A765" s="2" t="s">
        <v>1361</v>
      </c>
      <c r="B765" s="2">
        <v>164</v>
      </c>
      <c r="C765" s="2">
        <v>5</v>
      </c>
      <c r="D765" s="2">
        <v>1</v>
      </c>
      <c r="E765" s="2">
        <v>1</v>
      </c>
      <c r="F765" s="2">
        <v>1.44790454162285</v>
      </c>
      <c r="G765" s="2" t="s">
        <v>519</v>
      </c>
      <c r="H765" s="2" t="s">
        <v>71</v>
      </c>
      <c r="I765" s="2" t="s">
        <v>16</v>
      </c>
      <c r="J765" s="2" t="s">
        <v>1614</v>
      </c>
      <c r="K765" s="2">
        <v>238.697686333326</v>
      </c>
      <c r="L765" s="2">
        <v>240.145604416612</v>
      </c>
      <c r="M765" s="2">
        <v>59.735074969738001</v>
      </c>
    </row>
    <row r="766" spans="1:13" x14ac:dyDescent="0.2">
      <c r="A766" s="2" t="s">
        <v>1361</v>
      </c>
      <c r="B766" s="2">
        <v>165</v>
      </c>
      <c r="C766" s="2">
        <v>10</v>
      </c>
      <c r="D766" s="2">
        <v>1</v>
      </c>
      <c r="E766" s="2">
        <v>1</v>
      </c>
      <c r="F766" s="2">
        <v>1.5796640417538601</v>
      </c>
      <c r="G766" s="2" t="s">
        <v>1492</v>
      </c>
      <c r="H766" s="2" t="s">
        <v>591</v>
      </c>
      <c r="I766" s="2" t="s">
        <v>16</v>
      </c>
      <c r="J766" s="2" t="s">
        <v>1615</v>
      </c>
      <c r="K766" s="2">
        <v>240.14916366664701</v>
      </c>
      <c r="L766" s="2">
        <v>241.728840874974</v>
      </c>
      <c r="M766" s="2">
        <v>59.735074969738001</v>
      </c>
    </row>
    <row r="767" spans="1:13" x14ac:dyDescent="0.2">
      <c r="A767" s="2" t="s">
        <v>1361</v>
      </c>
      <c r="B767" s="2">
        <v>166</v>
      </c>
      <c r="C767" s="2">
        <v>10</v>
      </c>
      <c r="D767" s="2">
        <v>1</v>
      </c>
      <c r="E767" s="2">
        <v>1</v>
      </c>
      <c r="F767" s="2">
        <v>1.89679087500554</v>
      </c>
      <c r="G767" s="2" t="s">
        <v>267</v>
      </c>
      <c r="H767" s="2" t="s">
        <v>234</v>
      </c>
      <c r="I767" s="2" t="s">
        <v>16</v>
      </c>
      <c r="J767" s="2" t="s">
        <v>1616</v>
      </c>
      <c r="K767" s="2">
        <v>241.73241870826999</v>
      </c>
      <c r="L767" s="2">
        <v>243.62923262501101</v>
      </c>
      <c r="M767" s="2">
        <v>59.735074969738001</v>
      </c>
    </row>
    <row r="768" spans="1:13" x14ac:dyDescent="0.2">
      <c r="A768" s="2" t="s">
        <v>1361</v>
      </c>
      <c r="B768" s="2">
        <v>167</v>
      </c>
      <c r="C768" s="2">
        <v>10</v>
      </c>
      <c r="D768" s="2">
        <v>1</v>
      </c>
      <c r="E768" s="2">
        <v>1</v>
      </c>
      <c r="F768" s="2">
        <v>1.3445914166513799</v>
      </c>
      <c r="G768" s="2" t="s">
        <v>256</v>
      </c>
      <c r="H768" s="2" t="s">
        <v>1617</v>
      </c>
      <c r="I768" s="2" t="s">
        <v>16</v>
      </c>
      <c r="J768" s="2" t="s">
        <v>1618</v>
      </c>
      <c r="K768" s="2">
        <v>243.63450074999099</v>
      </c>
      <c r="L768" s="2">
        <v>244.979105416685</v>
      </c>
      <c r="M768" s="2">
        <v>59.735074969738001</v>
      </c>
    </row>
    <row r="769" spans="1:13" x14ac:dyDescent="0.2">
      <c r="A769" s="2" t="s">
        <v>1361</v>
      </c>
      <c r="B769" s="2">
        <v>168</v>
      </c>
      <c r="C769" s="2">
        <v>5</v>
      </c>
      <c r="D769" s="2">
        <v>1</v>
      </c>
      <c r="E769" s="2">
        <v>1</v>
      </c>
      <c r="F769" s="2">
        <v>1.14779325004201</v>
      </c>
      <c r="G769" s="2" t="s">
        <v>1088</v>
      </c>
      <c r="H769" s="2" t="s">
        <v>1371</v>
      </c>
      <c r="I769" s="2" t="s">
        <v>16</v>
      </c>
      <c r="J769" s="2" t="s">
        <v>1619</v>
      </c>
      <c r="K769" s="2">
        <v>244.98102404165601</v>
      </c>
      <c r="L769" s="2">
        <v>246.12883054162401</v>
      </c>
      <c r="M769" s="2">
        <v>59.735074969738001</v>
      </c>
    </row>
    <row r="770" spans="1:13" x14ac:dyDescent="0.2">
      <c r="A770" s="2" t="s">
        <v>1361</v>
      </c>
      <c r="B770" s="2">
        <v>169</v>
      </c>
      <c r="C770" s="2">
        <v>5</v>
      </c>
      <c r="D770" s="2">
        <v>1</v>
      </c>
      <c r="E770" s="2">
        <v>1</v>
      </c>
      <c r="F770" s="2">
        <v>1.5647836249554501</v>
      </c>
      <c r="G770" s="2" t="s">
        <v>278</v>
      </c>
      <c r="H770" s="2" t="s">
        <v>832</v>
      </c>
      <c r="I770" s="2" t="s">
        <v>16</v>
      </c>
      <c r="J770" s="2" t="s">
        <v>1620</v>
      </c>
      <c r="K770" s="2">
        <v>246.13074887497399</v>
      </c>
      <c r="L770" s="2">
        <v>247.69554400001701</v>
      </c>
      <c r="M770" s="2">
        <v>59.735074969738001</v>
      </c>
    </row>
    <row r="771" spans="1:13" x14ac:dyDescent="0.2">
      <c r="A771" s="2" t="s">
        <v>1361</v>
      </c>
      <c r="B771" s="2">
        <v>170</v>
      </c>
      <c r="C771" s="2">
        <v>5</v>
      </c>
      <c r="D771" s="2">
        <v>1</v>
      </c>
      <c r="E771" s="2">
        <v>1</v>
      </c>
      <c r="F771" s="2">
        <v>1.1322513333288999</v>
      </c>
      <c r="G771" s="2" t="s">
        <v>716</v>
      </c>
      <c r="H771" s="2" t="s">
        <v>1117</v>
      </c>
      <c r="I771" s="2" t="s">
        <v>16</v>
      </c>
      <c r="J771" s="2" t="s">
        <v>1621</v>
      </c>
      <c r="K771" s="2">
        <v>247.69743583328099</v>
      </c>
      <c r="L771" s="2">
        <v>248.82969904167101</v>
      </c>
      <c r="M771" s="2">
        <v>59.735074969738001</v>
      </c>
    </row>
    <row r="772" spans="1:13" x14ac:dyDescent="0.2">
      <c r="A772" s="2" t="s">
        <v>1361</v>
      </c>
      <c r="B772" s="2">
        <v>171</v>
      </c>
      <c r="C772" s="2">
        <v>10</v>
      </c>
      <c r="D772" s="2">
        <v>1</v>
      </c>
      <c r="E772" s="2">
        <v>1</v>
      </c>
      <c r="F772" s="2">
        <v>2.2120876250555699</v>
      </c>
      <c r="G772" s="2" t="s">
        <v>1622</v>
      </c>
      <c r="H772" s="2" t="s">
        <v>247</v>
      </c>
      <c r="I772" s="2" t="s">
        <v>16</v>
      </c>
      <c r="J772" s="2" t="s">
        <v>1623</v>
      </c>
      <c r="K772" s="2">
        <v>248.83321333327299</v>
      </c>
      <c r="L772" s="2">
        <v>251.04531329160099</v>
      </c>
      <c r="M772" s="2">
        <v>59.735074969738001</v>
      </c>
    </row>
    <row r="773" spans="1:13" x14ac:dyDescent="0.2">
      <c r="A773" s="2" t="s">
        <v>1361</v>
      </c>
      <c r="B773" s="2">
        <v>172</v>
      </c>
      <c r="C773" s="2">
        <v>5</v>
      </c>
      <c r="D773" s="2">
        <v>1</v>
      </c>
      <c r="E773" s="2">
        <v>1</v>
      </c>
      <c r="F773" s="2">
        <v>1.33184608328156</v>
      </c>
      <c r="G773" s="2" t="s">
        <v>651</v>
      </c>
      <c r="H773" s="2" t="s">
        <v>1624</v>
      </c>
      <c r="I773" s="2" t="s">
        <v>16</v>
      </c>
      <c r="J773" s="2" t="s">
        <v>1625</v>
      </c>
      <c r="K773" s="2">
        <v>251.04717708332501</v>
      </c>
      <c r="L773" s="2">
        <v>252.37903487496101</v>
      </c>
      <c r="M773" s="2">
        <v>59.735074969738001</v>
      </c>
    </row>
    <row r="774" spans="1:13" x14ac:dyDescent="0.2">
      <c r="A774" s="2" t="s">
        <v>1361</v>
      </c>
      <c r="B774" s="2">
        <v>173</v>
      </c>
      <c r="C774" s="2">
        <v>10</v>
      </c>
      <c r="D774" s="2">
        <v>1</v>
      </c>
      <c r="E774" s="2">
        <v>1</v>
      </c>
      <c r="F774" s="2">
        <v>1.6131076250458101</v>
      </c>
      <c r="G774" s="2" t="s">
        <v>1624</v>
      </c>
      <c r="H774" s="2" t="s">
        <v>85</v>
      </c>
      <c r="I774" s="2" t="s">
        <v>16</v>
      </c>
      <c r="J774" s="2" t="s">
        <v>1626</v>
      </c>
      <c r="K774" s="2">
        <v>252.38246712495999</v>
      </c>
      <c r="L774" s="2">
        <v>253.99559016665401</v>
      </c>
      <c r="M774" s="2">
        <v>59.735074969738001</v>
      </c>
    </row>
    <row r="775" spans="1:13" x14ac:dyDescent="0.2">
      <c r="A775" s="2" t="s">
        <v>1361</v>
      </c>
      <c r="B775" s="2">
        <v>174</v>
      </c>
      <c r="C775" s="2">
        <v>5</v>
      </c>
      <c r="D775" s="2">
        <v>2</v>
      </c>
      <c r="E775" s="2">
        <v>0</v>
      </c>
      <c r="F775" s="2">
        <v>2.3644758750451702</v>
      </c>
      <c r="G775" s="2" t="s">
        <v>1627</v>
      </c>
      <c r="H775" s="2" t="s">
        <v>1628</v>
      </c>
      <c r="I775" s="2" t="s">
        <v>23</v>
      </c>
      <c r="J775" s="2" t="s">
        <v>1629</v>
      </c>
      <c r="K775" s="2">
        <v>253.997543958249</v>
      </c>
      <c r="L775" s="2">
        <v>256.36203324992698</v>
      </c>
      <c r="M775" s="2">
        <v>59.735074969738001</v>
      </c>
    </row>
    <row r="776" spans="1:13" x14ac:dyDescent="0.2">
      <c r="A776" s="2" t="s">
        <v>1361</v>
      </c>
      <c r="B776" s="2">
        <v>175</v>
      </c>
      <c r="C776" s="2">
        <v>10</v>
      </c>
      <c r="D776" s="2">
        <v>1</v>
      </c>
      <c r="E776" s="2">
        <v>1</v>
      </c>
      <c r="F776" s="2">
        <v>1.7461431666742999</v>
      </c>
      <c r="G776" s="2" t="s">
        <v>1630</v>
      </c>
      <c r="H776" s="2" t="s">
        <v>133</v>
      </c>
      <c r="I776" s="2" t="s">
        <v>16</v>
      </c>
      <c r="J776" s="2" t="s">
        <v>1631</v>
      </c>
      <c r="K776" s="2">
        <v>256.36592154158302</v>
      </c>
      <c r="L776" s="2">
        <v>258.112077249913</v>
      </c>
      <c r="M776" s="2">
        <v>59.735074969738001</v>
      </c>
    </row>
    <row r="777" spans="1:13" x14ac:dyDescent="0.2">
      <c r="A777" s="2" t="s">
        <v>1361</v>
      </c>
      <c r="B777" s="2">
        <v>176</v>
      </c>
      <c r="C777" s="2">
        <v>10</v>
      </c>
      <c r="D777" s="2">
        <v>1</v>
      </c>
      <c r="E777" s="2">
        <v>1</v>
      </c>
      <c r="F777" s="2">
        <v>1.66331879165955</v>
      </c>
      <c r="G777" s="2" t="s">
        <v>1443</v>
      </c>
      <c r="H777" s="2" t="s">
        <v>789</v>
      </c>
      <c r="I777" s="2" t="s">
        <v>16</v>
      </c>
      <c r="J777" s="2" t="s">
        <v>1632</v>
      </c>
      <c r="K777" s="2">
        <v>258.11573183326999</v>
      </c>
      <c r="L777" s="2">
        <v>259.77906195831002</v>
      </c>
      <c r="M777" s="2">
        <v>59.735074969738001</v>
      </c>
    </row>
    <row r="778" spans="1:13" x14ac:dyDescent="0.2">
      <c r="A778" s="2" t="s">
        <v>1361</v>
      </c>
      <c r="B778" s="2">
        <v>177</v>
      </c>
      <c r="C778" s="2">
        <v>5</v>
      </c>
      <c r="D778" s="2">
        <v>1</v>
      </c>
      <c r="E778" s="2">
        <v>1</v>
      </c>
      <c r="F778" s="2">
        <v>1.4479407500475701</v>
      </c>
      <c r="G778" s="2" t="s">
        <v>602</v>
      </c>
      <c r="H778" s="2" t="s">
        <v>844</v>
      </c>
      <c r="I778" s="2" t="s">
        <v>16</v>
      </c>
      <c r="J778" s="2" t="s">
        <v>1633</v>
      </c>
      <c r="K778" s="2">
        <v>259.78087424999097</v>
      </c>
      <c r="L778" s="2">
        <v>261.22882929164899</v>
      </c>
      <c r="M778" s="2">
        <v>59.735074969738001</v>
      </c>
    </row>
    <row r="779" spans="1:13" x14ac:dyDescent="0.2">
      <c r="A779" s="2" t="s">
        <v>1361</v>
      </c>
      <c r="B779" s="2">
        <v>178</v>
      </c>
      <c r="C779" s="2">
        <v>10</v>
      </c>
      <c r="D779" s="2">
        <v>1</v>
      </c>
      <c r="E779" s="2">
        <v>1</v>
      </c>
      <c r="F779" s="2">
        <v>1.5132811249932301</v>
      </c>
      <c r="G779" s="2" t="s">
        <v>533</v>
      </c>
      <c r="H779" s="2" t="s">
        <v>617</v>
      </c>
      <c r="I779" s="2" t="s">
        <v>16</v>
      </c>
      <c r="J779" s="2" t="s">
        <v>1634</v>
      </c>
      <c r="K779" s="2">
        <v>261.23241212498402</v>
      </c>
      <c r="L779" s="2">
        <v>262.74570591666298</v>
      </c>
      <c r="M779" s="2">
        <v>59.735074969738001</v>
      </c>
    </row>
    <row r="780" spans="1:13" x14ac:dyDescent="0.2">
      <c r="A780" s="2" t="s">
        <v>1361</v>
      </c>
      <c r="B780" s="2">
        <v>179</v>
      </c>
      <c r="C780" s="2">
        <v>5</v>
      </c>
      <c r="D780" s="2">
        <v>1</v>
      </c>
      <c r="E780" s="2">
        <v>1</v>
      </c>
      <c r="F780" s="2">
        <v>1.3481120417127399</v>
      </c>
      <c r="G780" s="2" t="s">
        <v>1635</v>
      </c>
      <c r="H780" s="2" t="s">
        <v>1413</v>
      </c>
      <c r="I780" s="2" t="s">
        <v>16</v>
      </c>
      <c r="J780" s="2" t="s">
        <v>1636</v>
      </c>
      <c r="K780" s="2">
        <v>262.74751699995301</v>
      </c>
      <c r="L780" s="2">
        <v>264.09564529161401</v>
      </c>
      <c r="M780" s="2">
        <v>59.735074969738001</v>
      </c>
    </row>
    <row r="781" spans="1:13" x14ac:dyDescent="0.2">
      <c r="A781" s="2" t="s">
        <v>1361</v>
      </c>
      <c r="B781" s="2">
        <v>180</v>
      </c>
      <c r="C781" s="2">
        <v>5</v>
      </c>
      <c r="D781" s="2">
        <v>1</v>
      </c>
      <c r="E781" s="2">
        <v>1</v>
      </c>
      <c r="F781" s="2">
        <v>1.38128554169089</v>
      </c>
      <c r="G781" s="2" t="s">
        <v>724</v>
      </c>
      <c r="H781" s="2" t="s">
        <v>1637</v>
      </c>
      <c r="I781" s="2" t="s">
        <v>16</v>
      </c>
      <c r="J781" s="2" t="s">
        <v>1638</v>
      </c>
      <c r="K781" s="2">
        <v>264.09757895825902</v>
      </c>
      <c r="L781" s="2">
        <v>265.478885333287</v>
      </c>
      <c r="M781" s="2">
        <v>59.735074969738001</v>
      </c>
    </row>
    <row r="782" spans="1:13" x14ac:dyDescent="0.2">
      <c r="A782" s="2" t="s">
        <v>1361</v>
      </c>
      <c r="B782" s="2">
        <v>181</v>
      </c>
      <c r="C782" s="2">
        <v>5</v>
      </c>
      <c r="D782" s="2">
        <v>1</v>
      </c>
      <c r="E782" s="2">
        <v>1</v>
      </c>
      <c r="F782" s="2">
        <v>1.26458566670772</v>
      </c>
      <c r="G782" s="2" t="s">
        <v>395</v>
      </c>
      <c r="H782" s="2" t="s">
        <v>361</v>
      </c>
      <c r="I782" s="2" t="s">
        <v>16</v>
      </c>
      <c r="J782" s="2" t="s">
        <v>1639</v>
      </c>
      <c r="K782" s="2">
        <v>265.48099650000199</v>
      </c>
      <c r="L782" s="2">
        <v>266.74559466668899</v>
      </c>
      <c r="M782" s="2">
        <v>59.735074969738001</v>
      </c>
    </row>
    <row r="783" spans="1:13" x14ac:dyDescent="0.2">
      <c r="A783" s="2" t="s">
        <v>1361</v>
      </c>
      <c r="B783" s="2">
        <v>182</v>
      </c>
      <c r="C783" s="2">
        <v>10</v>
      </c>
      <c r="D783" s="2">
        <v>1</v>
      </c>
      <c r="E783" s="2">
        <v>1</v>
      </c>
      <c r="F783" s="2">
        <v>1.5462254167068801</v>
      </c>
      <c r="G783" s="2" t="s">
        <v>1458</v>
      </c>
      <c r="H783" s="2" t="s">
        <v>605</v>
      </c>
      <c r="I783" s="2" t="s">
        <v>16</v>
      </c>
      <c r="J783" s="2" t="s">
        <v>1640</v>
      </c>
      <c r="K783" s="2">
        <v>266.74914920830599</v>
      </c>
      <c r="L783" s="2">
        <v>268.29538854165003</v>
      </c>
      <c r="M783" s="2">
        <v>59.735074969738001</v>
      </c>
    </row>
    <row r="784" spans="1:13" x14ac:dyDescent="0.2">
      <c r="A784" s="2" t="s">
        <v>1361</v>
      </c>
      <c r="B784" s="2">
        <v>183</v>
      </c>
      <c r="C784" s="2">
        <v>5</v>
      </c>
      <c r="D784" s="2">
        <v>1</v>
      </c>
      <c r="E784" s="2">
        <v>1</v>
      </c>
      <c r="F784" s="2">
        <v>1.164877208299</v>
      </c>
      <c r="G784" s="2" t="s">
        <v>64</v>
      </c>
      <c r="H784" s="2" t="s">
        <v>1433</v>
      </c>
      <c r="I784" s="2" t="s">
        <v>16</v>
      </c>
      <c r="J784" s="2" t="s">
        <v>1641</v>
      </c>
      <c r="K784" s="2">
        <v>268.297341624973</v>
      </c>
      <c r="L784" s="2">
        <v>269.46223354164999</v>
      </c>
      <c r="M784" s="2">
        <v>59.735074969738001</v>
      </c>
    </row>
    <row r="785" spans="1:13" x14ac:dyDescent="0.2">
      <c r="A785" s="2" t="s">
        <v>1361</v>
      </c>
      <c r="B785" s="2">
        <v>184</v>
      </c>
      <c r="C785" s="2">
        <v>5</v>
      </c>
      <c r="D785" s="2">
        <v>2</v>
      </c>
      <c r="E785" s="2">
        <v>0</v>
      </c>
      <c r="F785" s="2">
        <v>3.18202679161914</v>
      </c>
      <c r="G785" s="2" t="s">
        <v>1642</v>
      </c>
      <c r="H785" s="2" t="s">
        <v>1643</v>
      </c>
      <c r="I785" s="2" t="s">
        <v>23</v>
      </c>
      <c r="J785" s="2" t="s">
        <v>1644</v>
      </c>
      <c r="K785" s="2">
        <v>269.46421108325001</v>
      </c>
      <c r="L785" s="2">
        <v>272.64624945831002</v>
      </c>
      <c r="M785" s="2">
        <v>59.735074969738001</v>
      </c>
    </row>
    <row r="786" spans="1:13" x14ac:dyDescent="0.2">
      <c r="A786" s="2" t="s">
        <v>1361</v>
      </c>
      <c r="B786" s="2">
        <v>185</v>
      </c>
      <c r="C786" s="2">
        <v>5</v>
      </c>
      <c r="D786" s="2">
        <v>1</v>
      </c>
      <c r="E786" s="2">
        <v>1</v>
      </c>
      <c r="F786" s="2">
        <v>3.0972488332772601</v>
      </c>
      <c r="G786" s="2" t="s">
        <v>906</v>
      </c>
      <c r="H786" s="2" t="s">
        <v>508</v>
      </c>
      <c r="I786" s="2" t="s">
        <v>16</v>
      </c>
      <c r="J786" s="2" t="s">
        <v>1645</v>
      </c>
      <c r="K786" s="2">
        <v>272.648246916593</v>
      </c>
      <c r="L786" s="2">
        <v>275.745509541594</v>
      </c>
      <c r="M786" s="2">
        <v>59.735074969738001</v>
      </c>
    </row>
    <row r="787" spans="1:13" x14ac:dyDescent="0.2">
      <c r="A787" s="2" t="s">
        <v>1361</v>
      </c>
      <c r="B787" s="2">
        <v>186</v>
      </c>
      <c r="C787" s="2">
        <v>10</v>
      </c>
      <c r="D787" s="2">
        <v>1</v>
      </c>
      <c r="E787" s="2">
        <v>1</v>
      </c>
      <c r="F787" s="2">
        <v>2.09654191671871</v>
      </c>
      <c r="G787" s="2" t="s">
        <v>1422</v>
      </c>
      <c r="H787" s="2" t="s">
        <v>126</v>
      </c>
      <c r="I787" s="2" t="s">
        <v>16</v>
      </c>
      <c r="J787" s="2" t="s">
        <v>1646</v>
      </c>
      <c r="K787" s="2">
        <v>275.74903908325399</v>
      </c>
      <c r="L787" s="2">
        <v>277.84559425001498</v>
      </c>
      <c r="M787" s="2">
        <v>59.735074969738001</v>
      </c>
    </row>
    <row r="788" spans="1:13" x14ac:dyDescent="0.2">
      <c r="A788" s="2" t="s">
        <v>1361</v>
      </c>
      <c r="B788" s="2">
        <v>187</v>
      </c>
      <c r="C788" s="2">
        <v>10</v>
      </c>
      <c r="D788" s="2">
        <v>1</v>
      </c>
      <c r="E788" s="2">
        <v>1</v>
      </c>
      <c r="F788" s="2">
        <v>1.9630535417236401</v>
      </c>
      <c r="G788" s="2" t="s">
        <v>1647</v>
      </c>
      <c r="H788" s="2" t="s">
        <v>138</v>
      </c>
      <c r="I788" s="2" t="s">
        <v>16</v>
      </c>
      <c r="J788" s="2" t="s">
        <v>1648</v>
      </c>
      <c r="K788" s="2">
        <v>277.84914049995098</v>
      </c>
      <c r="L788" s="2">
        <v>279.81220979161998</v>
      </c>
      <c r="M788" s="2">
        <v>59.735074969738001</v>
      </c>
    </row>
    <row r="789" spans="1:13" x14ac:dyDescent="0.2">
      <c r="A789" s="2" t="s">
        <v>1361</v>
      </c>
      <c r="B789" s="2">
        <v>188</v>
      </c>
      <c r="C789" s="2">
        <v>5</v>
      </c>
      <c r="D789" s="2">
        <v>1</v>
      </c>
      <c r="E789" s="2">
        <v>1</v>
      </c>
      <c r="F789" s="2">
        <v>3.6313770000124399</v>
      </c>
      <c r="G789" s="2" t="s">
        <v>1647</v>
      </c>
      <c r="H789" s="2" t="s">
        <v>1136</v>
      </c>
      <c r="I789" s="2" t="s">
        <v>16</v>
      </c>
      <c r="J789" s="2" t="s">
        <v>1649</v>
      </c>
      <c r="K789" s="2">
        <v>279.81418474996502</v>
      </c>
      <c r="L789" s="2">
        <v>283.44557708327198</v>
      </c>
      <c r="M789" s="2">
        <v>59.735074969738001</v>
      </c>
    </row>
    <row r="790" spans="1:13" x14ac:dyDescent="0.2">
      <c r="A790" s="2" t="s">
        <v>1361</v>
      </c>
      <c r="B790" s="2">
        <v>189</v>
      </c>
      <c r="C790" s="2">
        <v>5</v>
      </c>
      <c r="D790" s="2">
        <v>1</v>
      </c>
      <c r="E790" s="2">
        <v>1</v>
      </c>
      <c r="F790" s="2">
        <v>1.2648707500193299</v>
      </c>
      <c r="G790" s="2" t="s">
        <v>762</v>
      </c>
      <c r="H790" s="2" t="s">
        <v>1650</v>
      </c>
      <c r="I790" s="2" t="s">
        <v>16</v>
      </c>
      <c r="J790" s="2" t="s">
        <v>1651</v>
      </c>
      <c r="K790" s="2">
        <v>283.44753524998703</v>
      </c>
      <c r="L790" s="2">
        <v>284.712420041673</v>
      </c>
      <c r="M790" s="2">
        <v>59.735074969738001</v>
      </c>
    </row>
    <row r="791" spans="1:13" x14ac:dyDescent="0.2">
      <c r="A791" s="2" t="s">
        <v>1361</v>
      </c>
      <c r="B791" s="2">
        <v>190</v>
      </c>
      <c r="C791" s="2">
        <v>5</v>
      </c>
      <c r="D791" s="2">
        <v>1</v>
      </c>
      <c r="E791" s="2">
        <v>1</v>
      </c>
      <c r="F791" s="2">
        <v>1.1141951667377701</v>
      </c>
      <c r="G791" s="2" t="s">
        <v>873</v>
      </c>
      <c r="H791" s="2" t="s">
        <v>1652</v>
      </c>
      <c r="I791" s="2" t="s">
        <v>16</v>
      </c>
      <c r="J791" s="2" t="s">
        <v>1653</v>
      </c>
      <c r="K791" s="2">
        <v>284.71438187500502</v>
      </c>
      <c r="L791" s="2">
        <v>285.82859112496999</v>
      </c>
      <c r="M791" s="2">
        <v>59.735074969738001</v>
      </c>
    </row>
    <row r="792" spans="1:13" x14ac:dyDescent="0.2">
      <c r="A792" s="2" t="s">
        <v>1361</v>
      </c>
      <c r="B792" s="2">
        <v>191</v>
      </c>
      <c r="C792" s="2">
        <v>10</v>
      </c>
      <c r="D792" s="2">
        <v>1</v>
      </c>
      <c r="E792" s="2">
        <v>1</v>
      </c>
      <c r="F792" s="2">
        <v>1.3466045833192799</v>
      </c>
      <c r="G792" s="2" t="s">
        <v>915</v>
      </c>
      <c r="H792" s="2" t="s">
        <v>19</v>
      </c>
      <c r="I792" s="2" t="s">
        <v>16</v>
      </c>
      <c r="J792" s="2" t="s">
        <v>1654</v>
      </c>
      <c r="K792" s="2">
        <v>285.83214329159802</v>
      </c>
      <c r="L792" s="2">
        <v>287.17876187502401</v>
      </c>
      <c r="M792" s="2">
        <v>59.735074969738001</v>
      </c>
    </row>
    <row r="793" spans="1:13" x14ac:dyDescent="0.2">
      <c r="A793" s="2" t="s">
        <v>1361</v>
      </c>
      <c r="B793" s="2">
        <v>192</v>
      </c>
      <c r="C793" s="2">
        <v>10</v>
      </c>
      <c r="D793" s="2">
        <v>1</v>
      </c>
      <c r="E793" s="2">
        <v>1</v>
      </c>
      <c r="F793" s="2">
        <v>1.3131495000561699</v>
      </c>
      <c r="G793" s="2" t="s">
        <v>961</v>
      </c>
      <c r="H793" s="2" t="s">
        <v>597</v>
      </c>
      <c r="I793" s="2" t="s">
        <v>16</v>
      </c>
      <c r="J793" s="2" t="s">
        <v>1655</v>
      </c>
      <c r="K793" s="2">
        <v>287.182366500027</v>
      </c>
      <c r="L793" s="2">
        <v>288.49552808329503</v>
      </c>
      <c r="M793" s="2">
        <v>59.735074969738001</v>
      </c>
    </row>
    <row r="794" spans="1:13" x14ac:dyDescent="0.2">
      <c r="A794" s="2" t="s">
        <v>1361</v>
      </c>
      <c r="B794" s="2">
        <v>193</v>
      </c>
      <c r="C794" s="2">
        <v>5</v>
      </c>
      <c r="D794" s="2">
        <v>1</v>
      </c>
      <c r="E794" s="2">
        <v>1</v>
      </c>
      <c r="F794" s="2">
        <v>2.7653013750677902</v>
      </c>
      <c r="G794" s="2" t="s">
        <v>972</v>
      </c>
      <c r="H794" s="2" t="s">
        <v>173</v>
      </c>
      <c r="I794" s="2" t="s">
        <v>16</v>
      </c>
      <c r="J794" s="2" t="s">
        <v>1656</v>
      </c>
      <c r="K794" s="2">
        <v>288.49733012495602</v>
      </c>
      <c r="L794" s="2">
        <v>291.26264374994201</v>
      </c>
      <c r="M794" s="2">
        <v>59.735074969738001</v>
      </c>
    </row>
    <row r="795" spans="1:13" x14ac:dyDescent="0.2">
      <c r="A795" s="2" t="s">
        <v>1361</v>
      </c>
      <c r="B795" s="2">
        <v>194</v>
      </c>
      <c r="C795" s="2">
        <v>10</v>
      </c>
      <c r="D795" s="2">
        <v>1</v>
      </c>
      <c r="E795" s="2">
        <v>1</v>
      </c>
      <c r="F795" s="2">
        <v>1.8627698749769499</v>
      </c>
      <c r="G795" s="2" t="s">
        <v>1657</v>
      </c>
      <c r="H795" s="2" t="s">
        <v>998</v>
      </c>
      <c r="I795" s="2" t="s">
        <v>16</v>
      </c>
      <c r="J795" s="2" t="s">
        <v>1658</v>
      </c>
      <c r="K795" s="2">
        <v>291.266106124967</v>
      </c>
      <c r="L795" s="2">
        <v>293.128890916589</v>
      </c>
      <c r="M795" s="2">
        <v>59.735074969738001</v>
      </c>
    </row>
    <row r="796" spans="1:13" x14ac:dyDescent="0.2">
      <c r="A796" s="2" t="s">
        <v>1361</v>
      </c>
      <c r="B796" s="2">
        <v>195</v>
      </c>
      <c r="C796" s="2">
        <v>10</v>
      </c>
      <c r="D796" s="2">
        <v>1</v>
      </c>
      <c r="E796" s="2">
        <v>1</v>
      </c>
      <c r="F796" s="2">
        <v>1.34628441673704</v>
      </c>
      <c r="G796" s="2" t="s">
        <v>600</v>
      </c>
      <c r="H796" s="2" t="s">
        <v>167</v>
      </c>
      <c r="I796" s="2" t="s">
        <v>16</v>
      </c>
      <c r="J796" s="2" t="s">
        <v>1659</v>
      </c>
      <c r="K796" s="2">
        <v>293.13251374999498</v>
      </c>
      <c r="L796" s="2">
        <v>294.47881945827999</v>
      </c>
      <c r="M796" s="2">
        <v>59.735074969738001</v>
      </c>
    </row>
    <row r="797" spans="1:13" x14ac:dyDescent="0.2">
      <c r="A797" s="2" t="s">
        <v>1361</v>
      </c>
      <c r="B797" s="2">
        <v>196</v>
      </c>
      <c r="C797" s="2">
        <v>5</v>
      </c>
      <c r="D797" s="2">
        <v>1</v>
      </c>
      <c r="E797" s="2">
        <v>1</v>
      </c>
      <c r="F797" s="2">
        <v>1.1480455832788701</v>
      </c>
      <c r="G797" s="2" t="s">
        <v>1453</v>
      </c>
      <c r="H797" s="2" t="s">
        <v>236</v>
      </c>
      <c r="I797" s="2" t="s">
        <v>16</v>
      </c>
      <c r="J797" s="2" t="s">
        <v>1660</v>
      </c>
      <c r="K797" s="2">
        <v>294.48079325002601</v>
      </c>
      <c r="L797" s="2">
        <v>295.62885474995699</v>
      </c>
      <c r="M797" s="2">
        <v>59.735074969738001</v>
      </c>
    </row>
    <row r="798" spans="1:13" x14ac:dyDescent="0.2">
      <c r="A798" s="2" t="s">
        <v>1361</v>
      </c>
      <c r="B798" s="2">
        <v>197</v>
      </c>
      <c r="C798" s="2">
        <v>5</v>
      </c>
      <c r="D798" s="2">
        <v>1</v>
      </c>
      <c r="E798" s="2">
        <v>1</v>
      </c>
      <c r="F798" s="2">
        <v>0.99778374994639296</v>
      </c>
      <c r="G798" s="2" t="s">
        <v>885</v>
      </c>
      <c r="H798" s="2" t="s">
        <v>1151</v>
      </c>
      <c r="I798" s="2" t="s">
        <v>16</v>
      </c>
      <c r="J798" s="2" t="s">
        <v>1661</v>
      </c>
      <c r="K798" s="2">
        <v>295.63080137502402</v>
      </c>
      <c r="L798" s="2">
        <v>296.62859820830602</v>
      </c>
      <c r="M798" s="2">
        <v>59.735074969738001</v>
      </c>
    </row>
    <row r="799" spans="1:13" x14ac:dyDescent="0.2">
      <c r="A799" s="2" t="s">
        <v>1361</v>
      </c>
      <c r="B799" s="2">
        <v>198</v>
      </c>
      <c r="C799" s="2">
        <v>5</v>
      </c>
      <c r="D799" s="2">
        <v>2</v>
      </c>
      <c r="E799" s="2">
        <v>0</v>
      </c>
      <c r="F799" s="2">
        <v>1.3648059583501899</v>
      </c>
      <c r="G799" s="2" t="s">
        <v>1662</v>
      </c>
      <c r="H799" s="2" t="s">
        <v>1663</v>
      </c>
      <c r="I799" s="2" t="s">
        <v>23</v>
      </c>
      <c r="J799" s="2" t="s">
        <v>1664</v>
      </c>
      <c r="K799" s="2">
        <v>296.63052841660101</v>
      </c>
      <c r="L799" s="2">
        <v>297.99535058333998</v>
      </c>
      <c r="M799" s="2">
        <v>59.735074969738001</v>
      </c>
    </row>
    <row r="800" spans="1:13" x14ac:dyDescent="0.2">
      <c r="A800" s="2" t="s">
        <v>1361</v>
      </c>
      <c r="B800" s="2">
        <v>199</v>
      </c>
      <c r="C800" s="2">
        <v>10</v>
      </c>
      <c r="D800" s="2">
        <v>1</v>
      </c>
      <c r="E800" s="2">
        <v>1</v>
      </c>
      <c r="F800" s="2">
        <v>1.1300168333109499</v>
      </c>
      <c r="G800" s="2" t="s">
        <v>102</v>
      </c>
      <c r="H800" s="2" t="s">
        <v>1665</v>
      </c>
      <c r="I800" s="2" t="s">
        <v>16</v>
      </c>
      <c r="J800" s="2" t="s">
        <v>1666</v>
      </c>
      <c r="K800" s="2">
        <v>297.99881016660999</v>
      </c>
      <c r="L800" s="2">
        <v>299.12884062493703</v>
      </c>
      <c r="M800" s="2">
        <v>59.735074969738001</v>
      </c>
    </row>
    <row r="801" spans="1:13" x14ac:dyDescent="0.2">
      <c r="A801" s="2" t="s">
        <v>1361</v>
      </c>
      <c r="B801" s="2">
        <v>200</v>
      </c>
      <c r="C801" s="2">
        <v>10</v>
      </c>
      <c r="D801" s="2">
        <v>1</v>
      </c>
      <c r="E801" s="2">
        <v>1</v>
      </c>
      <c r="F801" s="2">
        <v>1.1963772500166701</v>
      </c>
      <c r="G801" s="2" t="s">
        <v>599</v>
      </c>
      <c r="H801" s="2" t="s">
        <v>544</v>
      </c>
      <c r="I801" s="2" t="s">
        <v>16</v>
      </c>
      <c r="J801" s="2" t="s">
        <v>1667</v>
      </c>
      <c r="K801" s="2">
        <v>299.13227962492999</v>
      </c>
      <c r="L801" s="2">
        <v>300.328673666692</v>
      </c>
      <c r="M801" s="2">
        <v>59.735074969738001</v>
      </c>
    </row>
    <row r="802" spans="1:13" x14ac:dyDescent="0.2">
      <c r="A802" s="2" t="s">
        <v>1668</v>
      </c>
      <c r="B802" s="2">
        <v>1</v>
      </c>
      <c r="C802" s="2">
        <v>10</v>
      </c>
      <c r="D802" s="2">
        <v>1</v>
      </c>
      <c r="E802" s="2">
        <v>1</v>
      </c>
      <c r="F802" s="2">
        <v>1.08874766668305</v>
      </c>
      <c r="G802" s="2" t="s">
        <v>1669</v>
      </c>
      <c r="H802" s="2" t="s">
        <v>684</v>
      </c>
      <c r="I802" s="2" t="s">
        <v>16</v>
      </c>
      <c r="J802" s="2" t="s">
        <v>1670</v>
      </c>
      <c r="K802" s="2">
        <v>6.2389954583486498</v>
      </c>
      <c r="L802" s="2">
        <v>7.3277702915947902</v>
      </c>
      <c r="M802" s="2">
        <v>59.998440056619202</v>
      </c>
    </row>
    <row r="803" spans="1:13" x14ac:dyDescent="0.2">
      <c r="A803" s="2" t="s">
        <v>1668</v>
      </c>
      <c r="B803" s="2">
        <v>2</v>
      </c>
      <c r="C803" s="2">
        <v>5</v>
      </c>
      <c r="D803" s="2">
        <v>1</v>
      </c>
      <c r="E803" s="2">
        <v>1</v>
      </c>
      <c r="F803" s="2">
        <v>1.01236908335704</v>
      </c>
      <c r="G803" s="2" t="s">
        <v>1671</v>
      </c>
      <c r="H803" s="2" t="s">
        <v>294</v>
      </c>
      <c r="I803" s="2" t="s">
        <v>16</v>
      </c>
      <c r="J803" s="2" t="s">
        <v>1672</v>
      </c>
      <c r="K803" s="2">
        <v>7.3315683749970102</v>
      </c>
      <c r="L803" s="2">
        <v>8.3440071666846105</v>
      </c>
      <c r="M803" s="2">
        <v>59.998440056619202</v>
      </c>
    </row>
    <row r="804" spans="1:13" x14ac:dyDescent="0.2">
      <c r="A804" s="2" t="s">
        <v>1668</v>
      </c>
      <c r="B804" s="2">
        <v>3</v>
      </c>
      <c r="C804" s="2">
        <v>10</v>
      </c>
      <c r="D804" s="2">
        <v>1</v>
      </c>
      <c r="E804" s="2">
        <v>1</v>
      </c>
      <c r="F804" s="2">
        <v>1.27325450000353</v>
      </c>
      <c r="G804" s="2" t="s">
        <v>851</v>
      </c>
      <c r="H804" s="2" t="s">
        <v>1673</v>
      </c>
      <c r="I804" s="2" t="s">
        <v>16</v>
      </c>
      <c r="J804" s="2" t="s">
        <v>1674</v>
      </c>
      <c r="K804" s="2">
        <v>8.35386337491218</v>
      </c>
      <c r="L804" s="2">
        <v>9.62717008334584</v>
      </c>
      <c r="M804" s="2">
        <v>59.998440056619202</v>
      </c>
    </row>
    <row r="805" spans="1:13" x14ac:dyDescent="0.2">
      <c r="A805" s="2" t="s">
        <v>1668</v>
      </c>
      <c r="B805" s="2">
        <v>4</v>
      </c>
      <c r="C805" s="2">
        <v>10</v>
      </c>
      <c r="D805" s="2">
        <v>1</v>
      </c>
      <c r="E805" s="2">
        <v>1</v>
      </c>
      <c r="F805" s="2">
        <v>1.07397620833945</v>
      </c>
      <c r="G805" s="2" t="s">
        <v>1669</v>
      </c>
      <c r="H805" s="2" t="s">
        <v>1675</v>
      </c>
      <c r="I805" s="2" t="s">
        <v>16</v>
      </c>
      <c r="J805" s="2" t="s">
        <v>1676</v>
      </c>
      <c r="K805" s="2">
        <v>9.6369439166737703</v>
      </c>
      <c r="L805" s="2">
        <v>10.710955208283901</v>
      </c>
      <c r="M805" s="2">
        <v>59.998440056619202</v>
      </c>
    </row>
    <row r="806" spans="1:13" x14ac:dyDescent="0.2">
      <c r="A806" s="2" t="s">
        <v>1668</v>
      </c>
      <c r="B806" s="2">
        <v>5</v>
      </c>
      <c r="C806" s="2">
        <v>10</v>
      </c>
      <c r="D806" s="2">
        <v>1</v>
      </c>
      <c r="E806" s="2">
        <v>1</v>
      </c>
      <c r="F806" s="2">
        <v>0.90827616665046695</v>
      </c>
      <c r="G806" s="2" t="s">
        <v>1677</v>
      </c>
      <c r="H806" s="2" t="s">
        <v>1678</v>
      </c>
      <c r="I806" s="2" t="s">
        <v>16</v>
      </c>
      <c r="J806" s="2" t="s">
        <v>1679</v>
      </c>
      <c r="K806" s="2">
        <v>10.719029916683199</v>
      </c>
      <c r="L806" s="2">
        <v>11.627342749969101</v>
      </c>
      <c r="M806" s="2">
        <v>59.998440056619202</v>
      </c>
    </row>
    <row r="807" spans="1:13" x14ac:dyDescent="0.2">
      <c r="A807" s="2" t="s">
        <v>1668</v>
      </c>
      <c r="B807" s="2">
        <v>6</v>
      </c>
      <c r="C807" s="2">
        <v>10</v>
      </c>
      <c r="D807" s="2">
        <v>1</v>
      </c>
      <c r="E807" s="2">
        <v>1</v>
      </c>
      <c r="F807" s="2">
        <v>1.92607116664294</v>
      </c>
      <c r="G807" s="2" t="s">
        <v>952</v>
      </c>
      <c r="H807" s="2" t="s">
        <v>1433</v>
      </c>
      <c r="I807" s="2" t="s">
        <v>16</v>
      </c>
      <c r="J807" s="2" t="s">
        <v>1680</v>
      </c>
      <c r="K807" s="2">
        <v>11.635269750026101</v>
      </c>
      <c r="L807" s="2">
        <v>13.561407750006801</v>
      </c>
      <c r="M807" s="2">
        <v>59.998440056619202</v>
      </c>
    </row>
    <row r="808" spans="1:13" x14ac:dyDescent="0.2">
      <c r="A808" s="2" t="s">
        <v>1668</v>
      </c>
      <c r="B808" s="2">
        <v>7</v>
      </c>
      <c r="C808" s="2">
        <v>10</v>
      </c>
      <c r="D808" s="2">
        <v>1</v>
      </c>
      <c r="E808" s="2">
        <v>1</v>
      </c>
      <c r="F808" s="2">
        <v>1.23658641660586</v>
      </c>
      <c r="G808" s="2" t="s">
        <v>390</v>
      </c>
      <c r="H808" s="2" t="s">
        <v>614</v>
      </c>
      <c r="I808" s="2" t="s">
        <v>16</v>
      </c>
      <c r="J808" s="2" t="s">
        <v>1681</v>
      </c>
      <c r="K808" s="2">
        <v>13.574532541679201</v>
      </c>
      <c r="L808" s="2">
        <v>14.8111710832454</v>
      </c>
      <c r="M808" s="2">
        <v>59.998440056619202</v>
      </c>
    </row>
    <row r="809" spans="1:13" x14ac:dyDescent="0.2">
      <c r="A809" s="2" t="s">
        <v>1668</v>
      </c>
      <c r="B809" s="2">
        <v>8</v>
      </c>
      <c r="C809" s="2">
        <v>5</v>
      </c>
      <c r="D809" s="2">
        <v>1</v>
      </c>
      <c r="E809" s="2">
        <v>1</v>
      </c>
      <c r="F809" s="2">
        <v>1.2265785833587901</v>
      </c>
      <c r="G809" s="2" t="s">
        <v>1682</v>
      </c>
      <c r="H809" s="2" t="s">
        <v>415</v>
      </c>
      <c r="I809" s="2" t="s">
        <v>16</v>
      </c>
      <c r="J809" s="2" t="s">
        <v>1683</v>
      </c>
      <c r="K809" s="2">
        <v>14.817796249990399</v>
      </c>
      <c r="L809" s="2">
        <v>16.044405124965099</v>
      </c>
      <c r="M809" s="2">
        <v>59.998440056619202</v>
      </c>
    </row>
    <row r="810" spans="1:13" x14ac:dyDescent="0.2">
      <c r="A810" s="2" t="s">
        <v>1668</v>
      </c>
      <c r="B810" s="2">
        <v>9</v>
      </c>
      <c r="C810" s="2">
        <v>10</v>
      </c>
      <c r="D810" s="2">
        <v>1</v>
      </c>
      <c r="E810" s="2">
        <v>1</v>
      </c>
      <c r="F810" s="2">
        <v>1.37437541666441</v>
      </c>
      <c r="G810" s="2" t="s">
        <v>1684</v>
      </c>
      <c r="H810" s="2" t="s">
        <v>1685</v>
      </c>
      <c r="I810" s="2" t="s">
        <v>16</v>
      </c>
      <c r="J810" s="2" t="s">
        <v>1686</v>
      </c>
      <c r="K810" s="2">
        <v>16.052643916686101</v>
      </c>
      <c r="L810" s="2">
        <v>17.427046708296999</v>
      </c>
      <c r="M810" s="2">
        <v>59.998440056619202</v>
      </c>
    </row>
    <row r="811" spans="1:13" x14ac:dyDescent="0.2">
      <c r="A811" s="2" t="s">
        <v>1668</v>
      </c>
      <c r="B811" s="2">
        <v>10</v>
      </c>
      <c r="C811" s="2">
        <v>10</v>
      </c>
      <c r="D811" s="2">
        <v>1</v>
      </c>
      <c r="E811" s="2">
        <v>1</v>
      </c>
      <c r="F811" s="2">
        <v>1.47528837493155</v>
      </c>
      <c r="G811" s="2" t="s">
        <v>600</v>
      </c>
      <c r="H811" s="2" t="s">
        <v>400</v>
      </c>
      <c r="I811" s="2" t="s">
        <v>16</v>
      </c>
      <c r="J811" s="2" t="s">
        <v>1687</v>
      </c>
      <c r="K811" s="2">
        <v>17.435302291647499</v>
      </c>
      <c r="L811" s="2">
        <v>18.9106192499166</v>
      </c>
      <c r="M811" s="2">
        <v>59.998440056619202</v>
      </c>
    </row>
    <row r="812" spans="1:13" x14ac:dyDescent="0.2">
      <c r="A812" s="2" t="s">
        <v>1668</v>
      </c>
      <c r="B812" s="2">
        <v>11</v>
      </c>
      <c r="C812" s="2">
        <v>10</v>
      </c>
      <c r="D812" s="2">
        <v>1</v>
      </c>
      <c r="E812" s="2">
        <v>1</v>
      </c>
      <c r="F812" s="2">
        <v>1.25841312494595</v>
      </c>
      <c r="G812" s="2" t="s">
        <v>635</v>
      </c>
      <c r="H812" s="2" t="s">
        <v>995</v>
      </c>
      <c r="I812" s="2" t="s">
        <v>16</v>
      </c>
      <c r="J812" s="2" t="s">
        <v>1688</v>
      </c>
      <c r="K812" s="2">
        <v>18.918678083340598</v>
      </c>
      <c r="L812" s="2">
        <v>20.177135583246098</v>
      </c>
      <c r="M812" s="2">
        <v>59.998440056619202</v>
      </c>
    </row>
    <row r="813" spans="1:13" x14ac:dyDescent="0.2">
      <c r="A813" s="2" t="s">
        <v>1668</v>
      </c>
      <c r="B813" s="2">
        <v>12</v>
      </c>
      <c r="C813" s="2">
        <v>5</v>
      </c>
      <c r="D813" s="2">
        <v>1</v>
      </c>
      <c r="E813" s="2">
        <v>1</v>
      </c>
      <c r="F813" s="2">
        <v>1.11212850001175</v>
      </c>
      <c r="G813" s="2" t="s">
        <v>1647</v>
      </c>
      <c r="H813" s="2" t="s">
        <v>1431</v>
      </c>
      <c r="I813" s="2" t="s">
        <v>16</v>
      </c>
      <c r="J813" s="2" t="s">
        <v>1689</v>
      </c>
      <c r="K813" s="2">
        <v>20.181583874975299</v>
      </c>
      <c r="L813" s="2">
        <v>21.293760624947002</v>
      </c>
      <c r="M813" s="2">
        <v>59.998440056619202</v>
      </c>
    </row>
    <row r="814" spans="1:13" x14ac:dyDescent="0.2">
      <c r="A814" s="2" t="s">
        <v>1668</v>
      </c>
      <c r="B814" s="2">
        <v>13</v>
      </c>
      <c r="C814" s="2">
        <v>5</v>
      </c>
      <c r="D814" s="2">
        <v>1</v>
      </c>
      <c r="E814" s="2">
        <v>1</v>
      </c>
      <c r="F814" s="2">
        <v>1.5938711250200901</v>
      </c>
      <c r="G814" s="2" t="s">
        <v>1690</v>
      </c>
      <c r="H814" s="2" t="s">
        <v>1519</v>
      </c>
      <c r="I814" s="2" t="s">
        <v>16</v>
      </c>
      <c r="J814" s="2" t="s">
        <v>1691</v>
      </c>
      <c r="K814" s="2">
        <v>21.298269791645001</v>
      </c>
      <c r="L814" s="2">
        <v>22.892176624969601</v>
      </c>
      <c r="M814" s="2">
        <v>59.998440056619202</v>
      </c>
    </row>
    <row r="815" spans="1:13" x14ac:dyDescent="0.2">
      <c r="A815" s="2" t="s">
        <v>1668</v>
      </c>
      <c r="B815" s="2">
        <v>14</v>
      </c>
      <c r="C815" s="2">
        <v>5</v>
      </c>
      <c r="D815" s="2">
        <v>1</v>
      </c>
      <c r="E815" s="2">
        <v>1</v>
      </c>
      <c r="F815" s="2">
        <v>1.3318330417387201</v>
      </c>
      <c r="G815" s="2" t="s">
        <v>1541</v>
      </c>
      <c r="H815" s="2" t="s">
        <v>349</v>
      </c>
      <c r="I815" s="2" t="s">
        <v>16</v>
      </c>
      <c r="J815" s="2" t="s">
        <v>1692</v>
      </c>
      <c r="K815" s="2">
        <v>22.895910416613301</v>
      </c>
      <c r="L815" s="2">
        <v>24.2278054583585</v>
      </c>
      <c r="M815" s="2">
        <v>59.998440056619202</v>
      </c>
    </row>
    <row r="816" spans="1:13" x14ac:dyDescent="0.2">
      <c r="A816" s="2" t="s">
        <v>1668</v>
      </c>
      <c r="B816" s="2">
        <v>15</v>
      </c>
      <c r="C816" s="2">
        <v>5</v>
      </c>
      <c r="D816" s="2">
        <v>1</v>
      </c>
      <c r="E816" s="2">
        <v>1</v>
      </c>
      <c r="F816" s="2">
        <v>1.3262683333596199</v>
      </c>
      <c r="G816" s="2" t="s">
        <v>1469</v>
      </c>
      <c r="H816" s="2" t="s">
        <v>35</v>
      </c>
      <c r="I816" s="2" t="s">
        <v>16</v>
      </c>
      <c r="J816" s="2" t="s">
        <v>1693</v>
      </c>
      <c r="K816" s="2">
        <v>24.2347190832952</v>
      </c>
      <c r="L816" s="2">
        <v>25.561034291633401</v>
      </c>
      <c r="M816" s="2">
        <v>59.998440056619202</v>
      </c>
    </row>
    <row r="817" spans="1:13" x14ac:dyDescent="0.2">
      <c r="A817" s="2" t="s">
        <v>1668</v>
      </c>
      <c r="B817" s="2">
        <v>16</v>
      </c>
      <c r="C817" s="2">
        <v>10</v>
      </c>
      <c r="D817" s="2">
        <v>1</v>
      </c>
      <c r="E817" s="2">
        <v>1</v>
      </c>
      <c r="F817" s="2">
        <v>1.42079200001899</v>
      </c>
      <c r="G817" s="2" t="s">
        <v>1362</v>
      </c>
      <c r="H817" s="2" t="s">
        <v>1694</v>
      </c>
      <c r="I817" s="2" t="s">
        <v>16</v>
      </c>
      <c r="J817" s="2" t="s">
        <v>1695</v>
      </c>
      <c r="K817" s="2">
        <v>25.573428208357701</v>
      </c>
      <c r="L817" s="2">
        <v>26.9942509166431</v>
      </c>
      <c r="M817" s="2">
        <v>59.998440056619202</v>
      </c>
    </row>
    <row r="818" spans="1:13" x14ac:dyDescent="0.2">
      <c r="A818" s="2" t="s">
        <v>1668</v>
      </c>
      <c r="B818" s="2">
        <v>17</v>
      </c>
      <c r="C818" s="2">
        <v>10</v>
      </c>
      <c r="D818" s="2">
        <v>1</v>
      </c>
      <c r="E818" s="2">
        <v>1</v>
      </c>
      <c r="F818" s="2">
        <v>3.4913932916242598</v>
      </c>
      <c r="G818" s="2" t="s">
        <v>922</v>
      </c>
      <c r="H818" s="2" t="s">
        <v>1696</v>
      </c>
      <c r="I818" s="2" t="s">
        <v>16</v>
      </c>
      <c r="J818" s="2" t="s">
        <v>1697</v>
      </c>
      <c r="K818" s="2">
        <v>27.002412749920001</v>
      </c>
      <c r="L818" s="2">
        <v>30.493839374976201</v>
      </c>
      <c r="M818" s="2">
        <v>59.998440056619202</v>
      </c>
    </row>
    <row r="819" spans="1:13" x14ac:dyDescent="0.2">
      <c r="A819" s="2" t="s">
        <v>1668</v>
      </c>
      <c r="B819" s="2">
        <v>18</v>
      </c>
      <c r="C819" s="2">
        <v>10</v>
      </c>
      <c r="D819" s="2">
        <v>1</v>
      </c>
      <c r="E819" s="2">
        <v>1</v>
      </c>
      <c r="F819" s="2">
        <v>1.2758821249008201</v>
      </c>
      <c r="G819" s="2" t="s">
        <v>715</v>
      </c>
      <c r="H819" s="2" t="s">
        <v>857</v>
      </c>
      <c r="I819" s="2" t="s">
        <v>16</v>
      </c>
      <c r="J819" s="2" t="s">
        <v>1698</v>
      </c>
      <c r="K819" s="2">
        <v>30.501179458340602</v>
      </c>
      <c r="L819" s="2">
        <v>31.777096624951799</v>
      </c>
      <c r="M819" s="2">
        <v>59.998440056619202</v>
      </c>
    </row>
    <row r="820" spans="1:13" x14ac:dyDescent="0.2">
      <c r="A820" s="2" t="s">
        <v>1668</v>
      </c>
      <c r="B820" s="2">
        <v>19</v>
      </c>
      <c r="C820" s="2">
        <v>5</v>
      </c>
      <c r="D820" s="2">
        <v>1</v>
      </c>
      <c r="E820" s="2">
        <v>1</v>
      </c>
      <c r="F820" s="2">
        <v>1.5119017083197801</v>
      </c>
      <c r="G820" s="2" t="s">
        <v>1413</v>
      </c>
      <c r="H820" s="2" t="s">
        <v>712</v>
      </c>
      <c r="I820" s="2" t="s">
        <v>16</v>
      </c>
      <c r="J820" s="2" t="s">
        <v>1699</v>
      </c>
      <c r="K820" s="2">
        <v>31.781916041625699</v>
      </c>
      <c r="L820" s="2">
        <v>33.293851333321101</v>
      </c>
      <c r="M820" s="2">
        <v>59.998440056619202</v>
      </c>
    </row>
    <row r="821" spans="1:13" x14ac:dyDescent="0.2">
      <c r="A821" s="2" t="s">
        <v>1668</v>
      </c>
      <c r="B821" s="2">
        <v>20</v>
      </c>
      <c r="C821" s="2">
        <v>5</v>
      </c>
      <c r="D821" s="2">
        <v>1</v>
      </c>
      <c r="E821" s="2">
        <v>1</v>
      </c>
      <c r="F821" s="2">
        <v>1.22945587499999</v>
      </c>
      <c r="G821" s="2" t="s">
        <v>793</v>
      </c>
      <c r="H821" s="2" t="s">
        <v>571</v>
      </c>
      <c r="I821" s="2" t="s">
        <v>16</v>
      </c>
      <c r="J821" s="2" t="s">
        <v>1700</v>
      </c>
      <c r="K821" s="2">
        <v>33.298186874948399</v>
      </c>
      <c r="L821" s="2">
        <v>34.527691999916001</v>
      </c>
      <c r="M821" s="2">
        <v>59.998440056619202</v>
      </c>
    </row>
    <row r="822" spans="1:13" x14ac:dyDescent="0.2">
      <c r="A822" s="2" t="s">
        <v>1668</v>
      </c>
      <c r="B822" s="2">
        <v>21</v>
      </c>
      <c r="C822" s="2">
        <v>10</v>
      </c>
      <c r="D822" s="2">
        <v>1</v>
      </c>
      <c r="E822" s="2">
        <v>1</v>
      </c>
      <c r="F822" s="2">
        <v>1.3212124584242699</v>
      </c>
      <c r="G822" s="2" t="s">
        <v>310</v>
      </c>
      <c r="H822" s="2" t="s">
        <v>851</v>
      </c>
      <c r="I822" s="2" t="s">
        <v>16</v>
      </c>
      <c r="J822" s="2" t="s">
        <v>1701</v>
      </c>
      <c r="K822" s="2">
        <v>34.5396926666144</v>
      </c>
      <c r="L822" s="2">
        <v>35.860954124946197</v>
      </c>
      <c r="M822" s="2">
        <v>59.998440056619202</v>
      </c>
    </row>
    <row r="823" spans="1:13" x14ac:dyDescent="0.2">
      <c r="A823" s="2" t="s">
        <v>1668</v>
      </c>
      <c r="B823" s="2">
        <v>22</v>
      </c>
      <c r="C823" s="2">
        <v>10</v>
      </c>
      <c r="D823" s="2">
        <v>1</v>
      </c>
      <c r="E823" s="2">
        <v>1</v>
      </c>
      <c r="F823" s="2">
        <v>2.32244187500328</v>
      </c>
      <c r="G823" s="2" t="s">
        <v>55</v>
      </c>
      <c r="H823" s="2" t="s">
        <v>334</v>
      </c>
      <c r="I823" s="2" t="s">
        <v>16</v>
      </c>
      <c r="J823" s="2" t="s">
        <v>1702</v>
      </c>
      <c r="K823" s="2">
        <v>35.871280624996899</v>
      </c>
      <c r="L823" s="2">
        <v>38.1937622916885</v>
      </c>
      <c r="M823" s="2">
        <v>59.998440056619202</v>
      </c>
    </row>
    <row r="824" spans="1:13" x14ac:dyDescent="0.2">
      <c r="A824" s="2" t="s">
        <v>1668</v>
      </c>
      <c r="B824" s="2">
        <v>23</v>
      </c>
      <c r="C824" s="2">
        <v>5</v>
      </c>
      <c r="D824" s="2">
        <v>1</v>
      </c>
      <c r="E824" s="2">
        <v>1</v>
      </c>
      <c r="F824" s="2">
        <v>1.5121058333898001</v>
      </c>
      <c r="G824" s="2" t="s">
        <v>1186</v>
      </c>
      <c r="H824" s="2" t="s">
        <v>908</v>
      </c>
      <c r="I824" s="2" t="s">
        <v>16</v>
      </c>
      <c r="J824" s="2" t="s">
        <v>1703</v>
      </c>
      <c r="K824" s="2">
        <v>38.198194249998799</v>
      </c>
      <c r="L824" s="2">
        <v>39.710360791650601</v>
      </c>
      <c r="M824" s="2">
        <v>59.998440056619202</v>
      </c>
    </row>
    <row r="825" spans="1:13" x14ac:dyDescent="0.2">
      <c r="A825" s="2" t="s">
        <v>1668</v>
      </c>
      <c r="B825" s="2">
        <v>24</v>
      </c>
      <c r="C825" s="2">
        <v>10</v>
      </c>
      <c r="D825" s="2">
        <v>1</v>
      </c>
      <c r="E825" s="2">
        <v>1</v>
      </c>
      <c r="F825" s="2">
        <v>1.29189324995969</v>
      </c>
      <c r="G825" s="2" t="s">
        <v>466</v>
      </c>
      <c r="H825" s="2" t="s">
        <v>256</v>
      </c>
      <c r="I825" s="2" t="s">
        <v>16</v>
      </c>
      <c r="J825" s="2" t="s">
        <v>1704</v>
      </c>
      <c r="K825" s="2">
        <v>39.718532791594001</v>
      </c>
      <c r="L825" s="2">
        <v>41.010454499977598</v>
      </c>
      <c r="M825" s="2">
        <v>59.998440056619202</v>
      </c>
    </row>
    <row r="826" spans="1:13" x14ac:dyDescent="0.2">
      <c r="A826" s="2" t="s">
        <v>1668</v>
      </c>
      <c r="B826" s="2">
        <v>25</v>
      </c>
      <c r="C826" s="2">
        <v>10</v>
      </c>
      <c r="D826" s="2">
        <v>1</v>
      </c>
      <c r="E826" s="2">
        <v>1</v>
      </c>
      <c r="F826" s="2">
        <v>1.65831816662103</v>
      </c>
      <c r="G826" s="2" t="s">
        <v>1705</v>
      </c>
      <c r="H826" s="2" t="s">
        <v>566</v>
      </c>
      <c r="I826" s="2" t="s">
        <v>16</v>
      </c>
      <c r="J826" s="2" t="s">
        <v>1706</v>
      </c>
      <c r="K826" s="2">
        <v>41.018685083254198</v>
      </c>
      <c r="L826" s="2">
        <v>42.677056625019802</v>
      </c>
      <c r="M826" s="2">
        <v>59.998440056619202</v>
      </c>
    </row>
    <row r="827" spans="1:13" x14ac:dyDescent="0.2">
      <c r="A827" s="2" t="s">
        <v>1668</v>
      </c>
      <c r="B827" s="2">
        <v>26</v>
      </c>
      <c r="C827" s="2">
        <v>10</v>
      </c>
      <c r="D827" s="2">
        <v>1</v>
      </c>
      <c r="E827" s="2">
        <v>1</v>
      </c>
      <c r="F827" s="2">
        <v>0.975225666654296</v>
      </c>
      <c r="G827" s="2" t="s">
        <v>163</v>
      </c>
      <c r="H827" s="2" t="s">
        <v>921</v>
      </c>
      <c r="I827" s="2" t="s">
        <v>16</v>
      </c>
      <c r="J827" s="2" t="s">
        <v>1707</v>
      </c>
      <c r="K827" s="2">
        <v>42.685256749973597</v>
      </c>
      <c r="L827" s="2">
        <v>43.6605283749523</v>
      </c>
      <c r="M827" s="2">
        <v>59.998440056619202</v>
      </c>
    </row>
    <row r="828" spans="1:13" x14ac:dyDescent="0.2">
      <c r="A828" s="2" t="s">
        <v>1668</v>
      </c>
      <c r="B828" s="2">
        <v>27</v>
      </c>
      <c r="C828" s="2">
        <v>5</v>
      </c>
      <c r="D828" s="2">
        <v>1</v>
      </c>
      <c r="E828" s="2">
        <v>1</v>
      </c>
      <c r="F828" s="2">
        <v>1.3960117500973901</v>
      </c>
      <c r="G828" s="2" t="s">
        <v>580</v>
      </c>
      <c r="H828" s="2" t="s">
        <v>1266</v>
      </c>
      <c r="I828" s="2" t="s">
        <v>16</v>
      </c>
      <c r="J828" s="2" t="s">
        <v>1708</v>
      </c>
      <c r="K828" s="2">
        <v>43.665067499969197</v>
      </c>
      <c r="L828" s="2">
        <v>45.061131750000598</v>
      </c>
      <c r="M828" s="2">
        <v>59.998440056619202</v>
      </c>
    </row>
    <row r="829" spans="1:13" x14ac:dyDescent="0.2">
      <c r="A829" s="2" t="s">
        <v>1668</v>
      </c>
      <c r="B829" s="2">
        <v>28</v>
      </c>
      <c r="C829" s="2">
        <v>5</v>
      </c>
      <c r="D829" s="2">
        <v>1</v>
      </c>
      <c r="E829" s="2">
        <v>1</v>
      </c>
      <c r="F829" s="2">
        <v>1.77607570833061</v>
      </c>
      <c r="G829" s="2" t="s">
        <v>553</v>
      </c>
      <c r="H829" s="2" t="s">
        <v>1709</v>
      </c>
      <c r="I829" s="2" t="s">
        <v>16</v>
      </c>
      <c r="J829" s="2" t="s">
        <v>1710</v>
      </c>
      <c r="K829" s="2">
        <v>45.067564375000103</v>
      </c>
      <c r="L829" s="2">
        <v>46.843679999932696</v>
      </c>
      <c r="M829" s="2">
        <v>59.998440056619202</v>
      </c>
    </row>
    <row r="830" spans="1:13" x14ac:dyDescent="0.2">
      <c r="A830" s="2" t="s">
        <v>1668</v>
      </c>
      <c r="B830" s="2">
        <v>29</v>
      </c>
      <c r="C830" s="2">
        <v>10</v>
      </c>
      <c r="D830" s="2">
        <v>1</v>
      </c>
      <c r="E830" s="2">
        <v>1</v>
      </c>
      <c r="F830" s="2">
        <v>1.4753534999908899</v>
      </c>
      <c r="G830" s="2" t="s">
        <v>1711</v>
      </c>
      <c r="H830" s="2" t="s">
        <v>1222</v>
      </c>
      <c r="I830" s="2" t="s">
        <v>16</v>
      </c>
      <c r="J830" s="2" t="s">
        <v>1712</v>
      </c>
      <c r="K830" s="2">
        <v>46.851868749945403</v>
      </c>
      <c r="L830" s="2">
        <v>48.327248791582001</v>
      </c>
      <c r="M830" s="2">
        <v>59.998440056619202</v>
      </c>
    </row>
    <row r="831" spans="1:13" x14ac:dyDescent="0.2">
      <c r="A831" s="2" t="s">
        <v>1668</v>
      </c>
      <c r="B831" s="2">
        <v>30</v>
      </c>
      <c r="C831" s="2">
        <v>10</v>
      </c>
      <c r="D831" s="2">
        <v>1</v>
      </c>
      <c r="E831" s="2">
        <v>1</v>
      </c>
      <c r="F831" s="2">
        <v>1.3763110416475699</v>
      </c>
      <c r="G831" s="2" t="s">
        <v>1713</v>
      </c>
      <c r="H831" s="2" t="s">
        <v>800</v>
      </c>
      <c r="I831" s="2" t="s">
        <v>16</v>
      </c>
      <c r="J831" s="2" t="s">
        <v>1714</v>
      </c>
      <c r="K831" s="2">
        <v>48.334207916632302</v>
      </c>
      <c r="L831" s="2">
        <v>49.710546875023297</v>
      </c>
      <c r="M831" s="2">
        <v>59.998440056619202</v>
      </c>
    </row>
    <row r="832" spans="1:13" x14ac:dyDescent="0.2">
      <c r="A832" s="2" t="s">
        <v>1668</v>
      </c>
      <c r="B832" s="2">
        <v>31</v>
      </c>
      <c r="C832" s="2">
        <v>10</v>
      </c>
      <c r="D832" s="2">
        <v>1</v>
      </c>
      <c r="E832" s="2">
        <v>1</v>
      </c>
      <c r="F832" s="2">
        <v>1.1750670833280299</v>
      </c>
      <c r="G832" s="2" t="s">
        <v>1584</v>
      </c>
      <c r="H832" s="2" t="s">
        <v>242</v>
      </c>
      <c r="I832" s="2" t="s">
        <v>16</v>
      </c>
      <c r="J832" s="2" t="s">
        <v>1715</v>
      </c>
      <c r="K832" s="2">
        <v>49.718698416603701</v>
      </c>
      <c r="L832" s="2">
        <v>50.893815333256498</v>
      </c>
      <c r="M832" s="2">
        <v>59.998440056619202</v>
      </c>
    </row>
    <row r="833" spans="1:13" x14ac:dyDescent="0.2">
      <c r="A833" s="2" t="s">
        <v>1668</v>
      </c>
      <c r="B833" s="2">
        <v>32</v>
      </c>
      <c r="C833" s="2">
        <v>5</v>
      </c>
      <c r="D833" s="2">
        <v>1</v>
      </c>
      <c r="E833" s="2">
        <v>1</v>
      </c>
      <c r="F833" s="2">
        <v>1.81259549991228</v>
      </c>
      <c r="G833" s="2" t="s">
        <v>1716</v>
      </c>
      <c r="H833" s="2" t="s">
        <v>1717</v>
      </c>
      <c r="I833" s="2" t="s">
        <v>16</v>
      </c>
      <c r="J833" s="2" t="s">
        <v>1718</v>
      </c>
      <c r="K833" s="2">
        <v>50.898214208311401</v>
      </c>
      <c r="L833" s="2">
        <v>52.710839333245502</v>
      </c>
      <c r="M833" s="2">
        <v>59.998440056619202</v>
      </c>
    </row>
    <row r="834" spans="1:13" x14ac:dyDescent="0.2">
      <c r="A834" s="2" t="s">
        <v>1668</v>
      </c>
      <c r="B834" s="2">
        <v>33</v>
      </c>
      <c r="C834" s="2">
        <v>10</v>
      </c>
      <c r="D834" s="2">
        <v>1</v>
      </c>
      <c r="E834" s="2">
        <v>1</v>
      </c>
      <c r="F834" s="2">
        <v>3.1247790417401098</v>
      </c>
      <c r="G834" s="2" t="s">
        <v>977</v>
      </c>
      <c r="H834" s="2" t="s">
        <v>602</v>
      </c>
      <c r="I834" s="2" t="s">
        <v>16</v>
      </c>
      <c r="J834" s="2" t="s">
        <v>1719</v>
      </c>
      <c r="K834" s="2">
        <v>52.719018999952802</v>
      </c>
      <c r="L834" s="2">
        <v>55.843851833255002</v>
      </c>
      <c r="M834" s="2">
        <v>59.998440056619202</v>
      </c>
    </row>
    <row r="835" spans="1:13" x14ac:dyDescent="0.2">
      <c r="A835" s="2" t="s">
        <v>1668</v>
      </c>
      <c r="B835" s="2">
        <v>34</v>
      </c>
      <c r="C835" s="2">
        <v>5</v>
      </c>
      <c r="D835" s="2">
        <v>1</v>
      </c>
      <c r="E835" s="2">
        <v>1</v>
      </c>
      <c r="F835" s="2">
        <v>1.5945243749301901</v>
      </c>
      <c r="G835" s="2" t="s">
        <v>50</v>
      </c>
      <c r="H835" s="2" t="s">
        <v>908</v>
      </c>
      <c r="I835" s="2" t="s">
        <v>16</v>
      </c>
      <c r="J835" s="2" t="s">
        <v>1720</v>
      </c>
      <c r="K835" s="2">
        <v>55.8492215833394</v>
      </c>
      <c r="L835" s="2">
        <v>57.4437966666883</v>
      </c>
      <c r="M835" s="2">
        <v>59.998440056619202</v>
      </c>
    </row>
    <row r="836" spans="1:13" x14ac:dyDescent="0.2">
      <c r="A836" s="2" t="s">
        <v>1668</v>
      </c>
      <c r="B836" s="2">
        <v>35</v>
      </c>
      <c r="C836" s="2">
        <v>10</v>
      </c>
      <c r="D836" s="2">
        <v>1</v>
      </c>
      <c r="E836" s="2">
        <v>1</v>
      </c>
      <c r="F836" s="2">
        <v>1.4251547498861299</v>
      </c>
      <c r="G836" s="2" t="s">
        <v>1206</v>
      </c>
      <c r="H836" s="2" t="s">
        <v>254</v>
      </c>
      <c r="I836" s="2" t="s">
        <v>16</v>
      </c>
      <c r="J836" s="2" t="s">
        <v>1721</v>
      </c>
      <c r="K836" s="2">
        <v>57.452006083331099</v>
      </c>
      <c r="L836" s="2">
        <v>58.877181541640297</v>
      </c>
      <c r="M836" s="2">
        <v>59.998440056619202</v>
      </c>
    </row>
    <row r="837" spans="1:13" x14ac:dyDescent="0.2">
      <c r="A837" s="2" t="s">
        <v>1668</v>
      </c>
      <c r="B837" s="2">
        <v>36</v>
      </c>
      <c r="C837" s="2">
        <v>10</v>
      </c>
      <c r="D837" s="2">
        <v>1</v>
      </c>
      <c r="E837" s="2">
        <v>1</v>
      </c>
      <c r="F837" s="2">
        <v>2.1095536666689401</v>
      </c>
      <c r="G837" s="2" t="s">
        <v>1722</v>
      </c>
      <c r="H837" s="2" t="s">
        <v>623</v>
      </c>
      <c r="I837" s="2" t="s">
        <v>16</v>
      </c>
      <c r="J837" s="2" t="s">
        <v>1723</v>
      </c>
      <c r="K837" s="2">
        <v>58.884146958356702</v>
      </c>
      <c r="L837" s="2">
        <v>60.993729333276903</v>
      </c>
      <c r="M837" s="2">
        <v>59.998440056619202</v>
      </c>
    </row>
    <row r="838" spans="1:13" x14ac:dyDescent="0.2">
      <c r="A838" s="2" t="s">
        <v>1668</v>
      </c>
      <c r="B838" s="2">
        <v>37</v>
      </c>
      <c r="C838" s="2">
        <v>5</v>
      </c>
      <c r="D838" s="2">
        <v>1</v>
      </c>
      <c r="E838" s="2">
        <v>1</v>
      </c>
      <c r="F838" s="2">
        <v>0.92917200003285005</v>
      </c>
      <c r="G838" s="2" t="s">
        <v>111</v>
      </c>
      <c r="H838" s="2" t="s">
        <v>1724</v>
      </c>
      <c r="I838" s="2" t="s">
        <v>16</v>
      </c>
      <c r="J838" s="2" t="s">
        <v>1725</v>
      </c>
      <c r="K838" s="2">
        <v>60.998110375017902</v>
      </c>
      <c r="L838" s="2">
        <v>61.927310291677699</v>
      </c>
      <c r="M838" s="2">
        <v>59.998440056619202</v>
      </c>
    </row>
    <row r="839" spans="1:13" x14ac:dyDescent="0.2">
      <c r="A839" s="2" t="s">
        <v>1668</v>
      </c>
      <c r="B839" s="2">
        <v>38</v>
      </c>
      <c r="C839" s="2">
        <v>5</v>
      </c>
      <c r="D839" s="2">
        <v>1</v>
      </c>
      <c r="E839" s="2">
        <v>1</v>
      </c>
      <c r="F839" s="2">
        <v>1.2620499583426901</v>
      </c>
      <c r="G839" s="2" t="s">
        <v>233</v>
      </c>
      <c r="H839" s="2" t="s">
        <v>582</v>
      </c>
      <c r="I839" s="2" t="s">
        <v>16</v>
      </c>
      <c r="J839" s="2" t="s">
        <v>1726</v>
      </c>
      <c r="K839" s="2">
        <v>61.931610916624798</v>
      </c>
      <c r="L839" s="2">
        <v>63.193703041644802</v>
      </c>
      <c r="M839" s="2">
        <v>59.998440056619202</v>
      </c>
    </row>
    <row r="840" spans="1:13" x14ac:dyDescent="0.2">
      <c r="A840" s="2" t="s">
        <v>1668</v>
      </c>
      <c r="B840" s="2">
        <v>39</v>
      </c>
      <c r="C840" s="2">
        <v>5</v>
      </c>
      <c r="D840" s="2">
        <v>1</v>
      </c>
      <c r="E840" s="2">
        <v>1</v>
      </c>
      <c r="F840" s="2">
        <v>1.19560474995524</v>
      </c>
      <c r="G840" s="2" t="s">
        <v>1224</v>
      </c>
      <c r="H840" s="2" t="s">
        <v>1403</v>
      </c>
      <c r="I840" s="2" t="s">
        <v>16</v>
      </c>
      <c r="J840" s="2" t="s">
        <v>1727</v>
      </c>
      <c r="K840" s="2">
        <v>63.198101666639602</v>
      </c>
      <c r="L840" s="2">
        <v>64.393736083293305</v>
      </c>
      <c r="M840" s="2">
        <v>59.998440056619202</v>
      </c>
    </row>
    <row r="841" spans="1:13" x14ac:dyDescent="0.2">
      <c r="A841" s="2" t="s">
        <v>1668</v>
      </c>
      <c r="B841" s="2">
        <v>40</v>
      </c>
      <c r="C841" s="2">
        <v>10</v>
      </c>
      <c r="D841" s="2">
        <v>1</v>
      </c>
      <c r="E841" s="2">
        <v>1</v>
      </c>
      <c r="F841" s="2">
        <v>1.37668733333703</v>
      </c>
      <c r="G841" s="2" t="s">
        <v>297</v>
      </c>
      <c r="H841" s="2" t="s">
        <v>210</v>
      </c>
      <c r="I841" s="2" t="s">
        <v>16</v>
      </c>
      <c r="J841" s="2" t="s">
        <v>1728</v>
      </c>
      <c r="K841" s="2">
        <v>64.400992791634096</v>
      </c>
      <c r="L841" s="2">
        <v>65.777740833349498</v>
      </c>
      <c r="M841" s="2">
        <v>59.998440056619202</v>
      </c>
    </row>
    <row r="842" spans="1:13" x14ac:dyDescent="0.2">
      <c r="A842" s="2" t="s">
        <v>1668</v>
      </c>
      <c r="B842" s="2">
        <v>41</v>
      </c>
      <c r="C842" s="2">
        <v>10</v>
      </c>
      <c r="D842" s="2">
        <v>1</v>
      </c>
      <c r="E842" s="2">
        <v>1</v>
      </c>
      <c r="F842" s="2">
        <v>1.20432033343241</v>
      </c>
      <c r="G842" s="2" t="s">
        <v>1729</v>
      </c>
      <c r="H842" s="2" t="s">
        <v>942</v>
      </c>
      <c r="I842" s="2" t="s">
        <v>16</v>
      </c>
      <c r="J842" s="2" t="s">
        <v>1730</v>
      </c>
      <c r="K842" s="2">
        <v>65.789683041628507</v>
      </c>
      <c r="L842" s="2">
        <v>66.994035666692099</v>
      </c>
      <c r="M842" s="2">
        <v>59.998440056619202</v>
      </c>
    </row>
    <row r="843" spans="1:13" x14ac:dyDescent="0.2">
      <c r="A843" s="2" t="s">
        <v>1668</v>
      </c>
      <c r="B843" s="2">
        <v>42</v>
      </c>
      <c r="C843" s="2">
        <v>5</v>
      </c>
      <c r="D843" s="2">
        <v>1</v>
      </c>
      <c r="E843" s="2">
        <v>1</v>
      </c>
      <c r="F843" s="2">
        <v>1.1444683750160001</v>
      </c>
      <c r="G843" s="2" t="s">
        <v>1731</v>
      </c>
      <c r="H843" s="2" t="s">
        <v>88</v>
      </c>
      <c r="I843" s="2" t="s">
        <v>16</v>
      </c>
      <c r="J843" s="2" t="s">
        <v>1732</v>
      </c>
      <c r="K843" s="2">
        <v>66.999247916624896</v>
      </c>
      <c r="L843" s="2">
        <v>68.143742083339006</v>
      </c>
      <c r="M843" s="2">
        <v>59.998440056619202</v>
      </c>
    </row>
    <row r="844" spans="1:13" x14ac:dyDescent="0.2">
      <c r="A844" s="2" t="s">
        <v>1668</v>
      </c>
      <c r="B844" s="2">
        <v>43</v>
      </c>
      <c r="C844" s="2">
        <v>5</v>
      </c>
      <c r="D844" s="2">
        <v>1</v>
      </c>
      <c r="E844" s="2">
        <v>1</v>
      </c>
      <c r="F844" s="2">
        <v>1.82878362503834</v>
      </c>
      <c r="G844" s="2" t="s">
        <v>1733</v>
      </c>
      <c r="H844" s="2" t="s">
        <v>411</v>
      </c>
      <c r="I844" s="2" t="s">
        <v>16</v>
      </c>
      <c r="J844" s="2" t="s">
        <v>1734</v>
      </c>
      <c r="K844" s="2">
        <v>68.148152499925402</v>
      </c>
      <c r="L844" s="2">
        <v>69.976972249918603</v>
      </c>
      <c r="M844" s="2">
        <v>59.998440056619202</v>
      </c>
    </row>
    <row r="845" spans="1:13" x14ac:dyDescent="0.2">
      <c r="A845" s="2" t="s">
        <v>1668</v>
      </c>
      <c r="B845" s="2">
        <v>44</v>
      </c>
      <c r="C845" s="2">
        <v>10</v>
      </c>
      <c r="D845" s="2">
        <v>1</v>
      </c>
      <c r="E845" s="2">
        <v>1</v>
      </c>
      <c r="F845" s="2">
        <v>1.14306408329867</v>
      </c>
      <c r="G845" s="2" t="s">
        <v>783</v>
      </c>
      <c r="H845" s="2" t="s">
        <v>709</v>
      </c>
      <c r="I845" s="2" t="s">
        <v>16</v>
      </c>
      <c r="J845" s="2" t="s">
        <v>1735</v>
      </c>
      <c r="K845" s="2">
        <v>69.984244916588096</v>
      </c>
      <c r="L845" s="2">
        <v>71.127338708262002</v>
      </c>
      <c r="M845" s="2">
        <v>59.998440056619202</v>
      </c>
    </row>
    <row r="846" spans="1:13" x14ac:dyDescent="0.2">
      <c r="A846" s="2" t="s">
        <v>1668</v>
      </c>
      <c r="B846" s="2">
        <v>45</v>
      </c>
      <c r="C846" s="2">
        <v>5</v>
      </c>
      <c r="D846" s="2">
        <v>1</v>
      </c>
      <c r="E846" s="2">
        <v>1</v>
      </c>
      <c r="F846" s="2">
        <v>1.42878920829389</v>
      </c>
      <c r="G846" s="2" t="s">
        <v>1139</v>
      </c>
      <c r="H846" s="2" t="s">
        <v>1400</v>
      </c>
      <c r="I846" s="2" t="s">
        <v>16</v>
      </c>
      <c r="J846" s="2" t="s">
        <v>1736</v>
      </c>
      <c r="K846" s="2">
        <v>71.131675999960905</v>
      </c>
      <c r="L846" s="2">
        <v>72.560536958277197</v>
      </c>
      <c r="M846" s="2">
        <v>59.998440056619202</v>
      </c>
    </row>
    <row r="847" spans="1:13" x14ac:dyDescent="0.2">
      <c r="A847" s="2" t="s">
        <v>1668</v>
      </c>
      <c r="B847" s="2">
        <v>46</v>
      </c>
      <c r="C847" s="2">
        <v>5</v>
      </c>
      <c r="D847" s="2">
        <v>1</v>
      </c>
      <c r="E847" s="2">
        <v>1</v>
      </c>
      <c r="F847" s="2">
        <v>1.0952966250479199</v>
      </c>
      <c r="G847" s="2" t="s">
        <v>1523</v>
      </c>
      <c r="H847" s="2" t="s">
        <v>459</v>
      </c>
      <c r="I847" s="2" t="s">
        <v>16</v>
      </c>
      <c r="J847" s="2" t="s">
        <v>1737</v>
      </c>
      <c r="K847" s="2">
        <v>72.564905499923</v>
      </c>
      <c r="L847" s="2">
        <v>73.660232041613199</v>
      </c>
      <c r="M847" s="2">
        <v>59.998440056619202</v>
      </c>
    </row>
    <row r="848" spans="1:13" x14ac:dyDescent="0.2">
      <c r="A848" s="2" t="s">
        <v>1668</v>
      </c>
      <c r="B848" s="2">
        <v>47</v>
      </c>
      <c r="C848" s="2">
        <v>10</v>
      </c>
      <c r="D848" s="2">
        <v>1</v>
      </c>
      <c r="E848" s="2">
        <v>1</v>
      </c>
      <c r="F848" s="2">
        <v>1.3754414167488</v>
      </c>
      <c r="G848" s="2" t="s">
        <v>1671</v>
      </c>
      <c r="H848" s="2" t="s">
        <v>834</v>
      </c>
      <c r="I848" s="2" t="s">
        <v>16</v>
      </c>
      <c r="J848" s="2" t="s">
        <v>1738</v>
      </c>
      <c r="K848" s="2">
        <v>73.668697000015499</v>
      </c>
      <c r="L848" s="2">
        <v>75.044180041644694</v>
      </c>
      <c r="M848" s="2">
        <v>59.998440056619202</v>
      </c>
    </row>
    <row r="849" spans="1:13" x14ac:dyDescent="0.2">
      <c r="A849" s="2" t="s">
        <v>1668</v>
      </c>
      <c r="B849" s="2">
        <v>48</v>
      </c>
      <c r="C849" s="2">
        <v>10</v>
      </c>
      <c r="D849" s="2">
        <v>1</v>
      </c>
      <c r="E849" s="2">
        <v>1</v>
      </c>
      <c r="F849" s="2">
        <v>2.6235967916436498</v>
      </c>
      <c r="G849" s="2" t="s">
        <v>1739</v>
      </c>
      <c r="H849" s="2" t="s">
        <v>266</v>
      </c>
      <c r="I849" s="2" t="s">
        <v>16</v>
      </c>
      <c r="J849" s="2" t="s">
        <v>1740</v>
      </c>
      <c r="K849" s="2">
        <v>75.136501083266893</v>
      </c>
      <c r="L849" s="2">
        <v>77.760198416654006</v>
      </c>
      <c r="M849" s="2">
        <v>59.998440056619202</v>
      </c>
    </row>
    <row r="850" spans="1:13" x14ac:dyDescent="0.2">
      <c r="A850" s="2" t="s">
        <v>1668</v>
      </c>
      <c r="B850" s="2">
        <v>49</v>
      </c>
      <c r="C850" s="2">
        <v>10</v>
      </c>
      <c r="D850" s="2">
        <v>1</v>
      </c>
      <c r="E850" s="2">
        <v>1</v>
      </c>
      <c r="F850" s="2">
        <v>1.3085463749012001</v>
      </c>
      <c r="G850" s="2" t="s">
        <v>368</v>
      </c>
      <c r="H850" s="2" t="s">
        <v>224</v>
      </c>
      <c r="I850" s="2" t="s">
        <v>16</v>
      </c>
      <c r="J850" s="2" t="s">
        <v>1741</v>
      </c>
      <c r="K850" s="2">
        <v>77.768558625015402</v>
      </c>
      <c r="L850" s="2">
        <v>79.077172499965002</v>
      </c>
      <c r="M850" s="2">
        <v>59.998440056619202</v>
      </c>
    </row>
    <row r="851" spans="1:13" x14ac:dyDescent="0.2">
      <c r="A851" s="2" t="s">
        <v>1668</v>
      </c>
      <c r="B851" s="2">
        <v>50</v>
      </c>
      <c r="C851" s="2">
        <v>5</v>
      </c>
      <c r="D851" s="2">
        <v>1</v>
      </c>
      <c r="E851" s="2">
        <v>1</v>
      </c>
      <c r="F851" s="2">
        <v>1.2127236250089499</v>
      </c>
      <c r="G851" s="2" t="s">
        <v>1742</v>
      </c>
      <c r="H851" s="2" t="s">
        <v>368</v>
      </c>
      <c r="I851" s="2" t="s">
        <v>16</v>
      </c>
      <c r="J851" s="2" t="s">
        <v>1743</v>
      </c>
      <c r="K851" s="2">
        <v>79.081718500005096</v>
      </c>
      <c r="L851" s="2">
        <v>80.294496916583697</v>
      </c>
      <c r="M851" s="2">
        <v>59.998440056619202</v>
      </c>
    </row>
    <row r="852" spans="1:13" x14ac:dyDescent="0.2">
      <c r="A852" s="2" t="s">
        <v>1668</v>
      </c>
      <c r="B852" s="2">
        <v>51</v>
      </c>
      <c r="C852" s="2">
        <v>5</v>
      </c>
      <c r="D852" s="2">
        <v>1</v>
      </c>
      <c r="E852" s="2">
        <v>1</v>
      </c>
      <c r="F852" s="2">
        <v>1.0931097916327399</v>
      </c>
      <c r="G852" s="2" t="s">
        <v>1744</v>
      </c>
      <c r="H852" s="2" t="s">
        <v>1077</v>
      </c>
      <c r="I852" s="2" t="s">
        <v>16</v>
      </c>
      <c r="J852" s="2" t="s">
        <v>1745</v>
      </c>
      <c r="K852" s="2">
        <v>80.301182833267404</v>
      </c>
      <c r="L852" s="2">
        <v>81.394335708348095</v>
      </c>
      <c r="M852" s="2">
        <v>59.998440056619202</v>
      </c>
    </row>
    <row r="853" spans="1:13" x14ac:dyDescent="0.2">
      <c r="A853" s="2" t="s">
        <v>1668</v>
      </c>
      <c r="B853" s="2">
        <v>52</v>
      </c>
      <c r="C853" s="2">
        <v>5</v>
      </c>
      <c r="D853" s="2">
        <v>3</v>
      </c>
      <c r="E853" s="2">
        <v>0</v>
      </c>
      <c r="F853" s="2">
        <v>3.5604545417008899</v>
      </c>
      <c r="G853" s="2" t="s">
        <v>1746</v>
      </c>
      <c r="H853" s="2" t="s">
        <v>1747</v>
      </c>
      <c r="I853" s="2" t="s">
        <v>935</v>
      </c>
      <c r="J853" s="2" t="s">
        <v>1748</v>
      </c>
      <c r="K853" s="2">
        <v>81.399631416657897</v>
      </c>
      <c r="L853" s="2">
        <v>84.960108749917694</v>
      </c>
      <c r="M853" s="2">
        <v>59.998440056619202</v>
      </c>
    </row>
    <row r="854" spans="1:13" x14ac:dyDescent="0.2">
      <c r="A854" s="2" t="s">
        <v>1668</v>
      </c>
      <c r="B854" s="2">
        <v>53</v>
      </c>
      <c r="C854" s="2">
        <v>10</v>
      </c>
      <c r="D854" s="2">
        <v>1</v>
      </c>
      <c r="E854" s="2">
        <v>1</v>
      </c>
      <c r="F854" s="2">
        <v>1.72704916656949</v>
      </c>
      <c r="G854" s="2" t="s">
        <v>1237</v>
      </c>
      <c r="H854" s="2" t="s">
        <v>310</v>
      </c>
      <c r="I854" s="2" t="s">
        <v>16</v>
      </c>
      <c r="J854" s="2" t="s">
        <v>1749</v>
      </c>
      <c r="K854" s="2">
        <v>84.966737791662993</v>
      </c>
      <c r="L854" s="2">
        <v>86.693837374914395</v>
      </c>
      <c r="M854" s="2">
        <v>59.998440056619202</v>
      </c>
    </row>
    <row r="855" spans="1:13" x14ac:dyDescent="0.2">
      <c r="A855" s="2" t="s">
        <v>1668</v>
      </c>
      <c r="B855" s="2">
        <v>54</v>
      </c>
      <c r="C855" s="2">
        <v>10</v>
      </c>
      <c r="D855" s="2">
        <v>1</v>
      </c>
      <c r="E855" s="2">
        <v>1</v>
      </c>
      <c r="F855" s="2">
        <v>1.72356908337679</v>
      </c>
      <c r="G855" s="2" t="s">
        <v>1750</v>
      </c>
      <c r="H855" s="2" t="s">
        <v>514</v>
      </c>
      <c r="I855" s="2" t="s">
        <v>16</v>
      </c>
      <c r="J855" s="2" t="s">
        <v>1751</v>
      </c>
      <c r="K855" s="2">
        <v>86.703594374936102</v>
      </c>
      <c r="L855" s="2">
        <v>88.427190750022405</v>
      </c>
      <c r="M855" s="2">
        <v>59.998440056619202</v>
      </c>
    </row>
    <row r="856" spans="1:13" x14ac:dyDescent="0.2">
      <c r="A856" s="2" t="s">
        <v>1668</v>
      </c>
      <c r="B856" s="2">
        <v>55</v>
      </c>
      <c r="C856" s="2">
        <v>10</v>
      </c>
      <c r="D856" s="2">
        <v>1</v>
      </c>
      <c r="E856" s="2">
        <v>1</v>
      </c>
      <c r="F856" s="2">
        <v>1.4748242499772499</v>
      </c>
      <c r="G856" s="2" t="s">
        <v>1752</v>
      </c>
      <c r="H856" s="2" t="s">
        <v>475</v>
      </c>
      <c r="I856" s="2" t="s">
        <v>16</v>
      </c>
      <c r="J856" s="2" t="s">
        <v>1753</v>
      </c>
      <c r="K856" s="2">
        <v>88.435403166688104</v>
      </c>
      <c r="L856" s="2">
        <v>89.910266958293505</v>
      </c>
      <c r="M856" s="2">
        <v>59.998440056619202</v>
      </c>
    </row>
    <row r="857" spans="1:13" x14ac:dyDescent="0.2">
      <c r="A857" s="2" t="s">
        <v>1668</v>
      </c>
      <c r="B857" s="2">
        <v>56</v>
      </c>
      <c r="C857" s="2">
        <v>10</v>
      </c>
      <c r="D857" s="2">
        <v>1</v>
      </c>
      <c r="E857" s="2">
        <v>1</v>
      </c>
      <c r="F857" s="2">
        <v>1.2262383332708899</v>
      </c>
      <c r="G857" s="2" t="s">
        <v>239</v>
      </c>
      <c r="H857" s="2" t="s">
        <v>1754</v>
      </c>
      <c r="I857" s="2" t="s">
        <v>16</v>
      </c>
      <c r="J857" s="2" t="s">
        <v>1755</v>
      </c>
      <c r="K857" s="2">
        <v>89.917480333358995</v>
      </c>
      <c r="L857" s="2">
        <v>91.143743249937003</v>
      </c>
      <c r="M857" s="2">
        <v>59.998440056619202</v>
      </c>
    </row>
    <row r="858" spans="1:13" x14ac:dyDescent="0.2">
      <c r="A858" s="2" t="s">
        <v>1668</v>
      </c>
      <c r="B858" s="2">
        <v>57</v>
      </c>
      <c r="C858" s="2">
        <v>10</v>
      </c>
      <c r="D858" s="2">
        <v>1</v>
      </c>
      <c r="E858" s="2">
        <v>1</v>
      </c>
      <c r="F858" s="2">
        <v>1.59294391667936</v>
      </c>
      <c r="G858" s="2" t="s">
        <v>1427</v>
      </c>
      <c r="H858" s="2" t="s">
        <v>1172</v>
      </c>
      <c r="I858" s="2" t="s">
        <v>16</v>
      </c>
      <c r="J858" s="2" t="s">
        <v>1756</v>
      </c>
      <c r="K858" s="2">
        <v>91.150716000003698</v>
      </c>
      <c r="L858" s="2">
        <v>92.743712666677297</v>
      </c>
      <c r="M858" s="2">
        <v>59.998440056619202</v>
      </c>
    </row>
    <row r="859" spans="1:13" x14ac:dyDescent="0.2">
      <c r="A859" s="2" t="s">
        <v>1668</v>
      </c>
      <c r="B859" s="2">
        <v>58</v>
      </c>
      <c r="C859" s="2">
        <v>5</v>
      </c>
      <c r="D859" s="2">
        <v>1</v>
      </c>
      <c r="E859" s="2">
        <v>1</v>
      </c>
      <c r="F859" s="2">
        <v>1.2622765833512</v>
      </c>
      <c r="G859" s="2" t="s">
        <v>1022</v>
      </c>
      <c r="H859" s="2" t="s">
        <v>1757</v>
      </c>
      <c r="I859" s="2" t="s">
        <v>16</v>
      </c>
      <c r="J859" s="2" t="s">
        <v>1758</v>
      </c>
      <c r="K859" s="2">
        <v>92.748213749960996</v>
      </c>
      <c r="L859" s="2">
        <v>94.010518125025598</v>
      </c>
      <c r="M859" s="2">
        <v>59.998440056619202</v>
      </c>
    </row>
    <row r="860" spans="1:13" x14ac:dyDescent="0.2">
      <c r="A860" s="2" t="s">
        <v>1668</v>
      </c>
      <c r="B860" s="2">
        <v>59</v>
      </c>
      <c r="C860" s="2">
        <v>10</v>
      </c>
      <c r="D860" s="2">
        <v>1</v>
      </c>
      <c r="E860" s="2">
        <v>1</v>
      </c>
      <c r="F860" s="2">
        <v>1.05830587493256</v>
      </c>
      <c r="G860" s="2" t="s">
        <v>219</v>
      </c>
      <c r="H860" s="2" t="s">
        <v>931</v>
      </c>
      <c r="I860" s="2" t="s">
        <v>16</v>
      </c>
      <c r="J860" s="2" t="s">
        <v>1759</v>
      </c>
      <c r="K860" s="2">
        <v>94.018659874913297</v>
      </c>
      <c r="L860" s="2">
        <v>95.076994624920204</v>
      </c>
      <c r="M860" s="2">
        <v>59.998440056619202</v>
      </c>
    </row>
    <row r="861" spans="1:13" x14ac:dyDescent="0.2">
      <c r="A861" s="2" t="s">
        <v>1668</v>
      </c>
      <c r="B861" s="2">
        <v>60</v>
      </c>
      <c r="C861" s="2">
        <v>5</v>
      </c>
      <c r="D861" s="2">
        <v>1</v>
      </c>
      <c r="E861" s="2">
        <v>1</v>
      </c>
      <c r="F861" s="2">
        <v>1.6624524166109</v>
      </c>
      <c r="G861" s="2" t="s">
        <v>52</v>
      </c>
      <c r="H861" s="2" t="s">
        <v>1354</v>
      </c>
      <c r="I861" s="2" t="s">
        <v>16</v>
      </c>
      <c r="J861" s="2" t="s">
        <v>1760</v>
      </c>
      <c r="K861" s="2">
        <v>95.081690458348007</v>
      </c>
      <c r="L861" s="2">
        <v>96.744186250027298</v>
      </c>
      <c r="M861" s="2">
        <v>59.998440056619202</v>
      </c>
    </row>
    <row r="862" spans="1:13" x14ac:dyDescent="0.2">
      <c r="A862" s="2" t="s">
        <v>1668</v>
      </c>
      <c r="B862" s="2">
        <v>61</v>
      </c>
      <c r="C862" s="2">
        <v>5</v>
      </c>
      <c r="D862" s="2">
        <v>1</v>
      </c>
      <c r="E862" s="2">
        <v>1</v>
      </c>
      <c r="F862" s="2">
        <v>1.3609754582867</v>
      </c>
      <c r="G862" s="2" t="s">
        <v>323</v>
      </c>
      <c r="H862" s="2" t="s">
        <v>560</v>
      </c>
      <c r="I862" s="2" t="s">
        <v>16</v>
      </c>
      <c r="J862" s="2" t="s">
        <v>1761</v>
      </c>
      <c r="K862" s="2">
        <v>96.749524541664897</v>
      </c>
      <c r="L862" s="2">
        <v>98.110527624958195</v>
      </c>
      <c r="M862" s="2">
        <v>59.998440056619202</v>
      </c>
    </row>
    <row r="863" spans="1:13" x14ac:dyDescent="0.2">
      <c r="A863" s="2" t="s">
        <v>1668</v>
      </c>
      <c r="B863" s="2">
        <v>62</v>
      </c>
      <c r="C863" s="2">
        <v>10</v>
      </c>
      <c r="D863" s="2">
        <v>2</v>
      </c>
      <c r="E863" s="2">
        <v>0</v>
      </c>
      <c r="F863" s="2">
        <v>1.5748600416118299</v>
      </c>
      <c r="G863" s="2" t="s">
        <v>1762</v>
      </c>
      <c r="H863" s="2" t="s">
        <v>1763</v>
      </c>
      <c r="I863" s="2" t="s">
        <v>23</v>
      </c>
      <c r="J863" s="2" t="s">
        <v>1764</v>
      </c>
      <c r="K863" s="2">
        <v>98.118519291631003</v>
      </c>
      <c r="L863" s="2">
        <v>99.693410291685694</v>
      </c>
      <c r="M863" s="2">
        <v>59.998440056619202</v>
      </c>
    </row>
    <row r="864" spans="1:13" x14ac:dyDescent="0.2">
      <c r="A864" s="2" t="s">
        <v>1668</v>
      </c>
      <c r="B864" s="2">
        <v>63</v>
      </c>
      <c r="C864" s="2">
        <v>10</v>
      </c>
      <c r="D864" s="2">
        <v>1</v>
      </c>
      <c r="E864" s="2">
        <v>1</v>
      </c>
      <c r="F864" s="2">
        <v>1.2094786249799701</v>
      </c>
      <c r="G864" s="2" t="s">
        <v>1243</v>
      </c>
      <c r="H864" s="2" t="s">
        <v>52</v>
      </c>
      <c r="I864" s="2" t="s">
        <v>16</v>
      </c>
      <c r="J864" s="2" t="s">
        <v>1765</v>
      </c>
      <c r="K864" s="2">
        <v>99.700811458285898</v>
      </c>
      <c r="L864" s="2">
        <v>100.91033145831901</v>
      </c>
      <c r="M864" s="2">
        <v>59.998440056619202</v>
      </c>
    </row>
    <row r="865" spans="1:13" x14ac:dyDescent="0.2">
      <c r="A865" s="2" t="s">
        <v>1668</v>
      </c>
      <c r="B865" s="2">
        <v>64</v>
      </c>
      <c r="C865" s="2">
        <v>5</v>
      </c>
      <c r="D865" s="2">
        <v>1</v>
      </c>
      <c r="E865" s="2">
        <v>1</v>
      </c>
      <c r="F865" s="2">
        <v>2.0295329166110601</v>
      </c>
      <c r="G865" s="2" t="s">
        <v>667</v>
      </c>
      <c r="H865" s="2" t="s">
        <v>583</v>
      </c>
      <c r="I865" s="2" t="s">
        <v>16</v>
      </c>
      <c r="J865" s="2" t="s">
        <v>1766</v>
      </c>
      <c r="K865" s="2">
        <v>100.914218833321</v>
      </c>
      <c r="L865" s="2">
        <v>102.943794624996</v>
      </c>
      <c r="M865" s="2">
        <v>59.998440056619202</v>
      </c>
    </row>
    <row r="866" spans="1:13" x14ac:dyDescent="0.2">
      <c r="A866" s="2" t="s">
        <v>1668</v>
      </c>
      <c r="B866" s="2">
        <v>65</v>
      </c>
      <c r="C866" s="2">
        <v>10</v>
      </c>
      <c r="D866" s="2">
        <v>1</v>
      </c>
      <c r="E866" s="2">
        <v>1</v>
      </c>
      <c r="F866" s="2">
        <v>2.3750349583569901</v>
      </c>
      <c r="G866" s="2" t="s">
        <v>987</v>
      </c>
      <c r="H866" s="2" t="s">
        <v>1767</v>
      </c>
      <c r="I866" s="2" t="s">
        <v>16</v>
      </c>
      <c r="J866" s="2" t="s">
        <v>1768</v>
      </c>
      <c r="K866" s="2">
        <v>102.951948249945</v>
      </c>
      <c r="L866" s="2">
        <v>105.32701124995999</v>
      </c>
      <c r="M866" s="2">
        <v>59.998440056619202</v>
      </c>
    </row>
    <row r="867" spans="1:13" x14ac:dyDescent="0.2">
      <c r="A867" s="2" t="s">
        <v>1668</v>
      </c>
      <c r="B867" s="2">
        <v>66</v>
      </c>
      <c r="C867" s="2">
        <v>5</v>
      </c>
      <c r="D867" s="2">
        <v>1</v>
      </c>
      <c r="E867" s="2">
        <v>1</v>
      </c>
      <c r="F867" s="2">
        <v>1.1463028333382701</v>
      </c>
      <c r="G867" s="2" t="s">
        <v>1769</v>
      </c>
      <c r="H867" s="2" t="s">
        <v>332</v>
      </c>
      <c r="I867" s="2" t="s">
        <v>16</v>
      </c>
      <c r="J867" s="2" t="s">
        <v>1770</v>
      </c>
      <c r="K867" s="2">
        <v>105.331438291585</v>
      </c>
      <c r="L867" s="2">
        <v>106.477809624979</v>
      </c>
      <c r="M867" s="2">
        <v>59.998440056619202</v>
      </c>
    </row>
    <row r="868" spans="1:13" x14ac:dyDescent="0.2">
      <c r="A868" s="2" t="s">
        <v>1668</v>
      </c>
      <c r="B868" s="2">
        <v>67</v>
      </c>
      <c r="C868" s="2">
        <v>5</v>
      </c>
      <c r="D868" s="2">
        <v>1</v>
      </c>
      <c r="E868" s="2">
        <v>1</v>
      </c>
      <c r="F868" s="2">
        <v>0.99418162496294804</v>
      </c>
      <c r="G868" s="2" t="s">
        <v>900</v>
      </c>
      <c r="H868" s="2" t="s">
        <v>239</v>
      </c>
      <c r="I868" s="2" t="s">
        <v>16</v>
      </c>
      <c r="J868" s="2" t="s">
        <v>1771</v>
      </c>
      <c r="K868" s="2">
        <v>106.483221833245</v>
      </c>
      <c r="L868" s="2">
        <v>107.47744970826901</v>
      </c>
      <c r="M868" s="2">
        <v>59.998440056619202</v>
      </c>
    </row>
    <row r="869" spans="1:13" x14ac:dyDescent="0.2">
      <c r="A869" s="2" t="s">
        <v>1668</v>
      </c>
      <c r="B869" s="2">
        <v>68</v>
      </c>
      <c r="C869" s="2">
        <v>10</v>
      </c>
      <c r="D869" s="2">
        <v>1</v>
      </c>
      <c r="E869" s="2">
        <v>1</v>
      </c>
      <c r="F869" s="2">
        <v>1.3066584999905899</v>
      </c>
      <c r="G869" s="2" t="s">
        <v>112</v>
      </c>
      <c r="H869" s="2" t="s">
        <v>1576</v>
      </c>
      <c r="I869" s="2" t="s">
        <v>16</v>
      </c>
      <c r="J869" s="2" t="s">
        <v>1772</v>
      </c>
      <c r="K869" s="2">
        <v>107.48719224997301</v>
      </c>
      <c r="L869" s="2">
        <v>108.79388224997101</v>
      </c>
      <c r="M869" s="2">
        <v>59.998440056619202</v>
      </c>
    </row>
    <row r="870" spans="1:13" x14ac:dyDescent="0.2">
      <c r="A870" s="2" t="s">
        <v>1668</v>
      </c>
      <c r="B870" s="2">
        <v>69</v>
      </c>
      <c r="C870" s="2">
        <v>10</v>
      </c>
      <c r="D870" s="2">
        <v>1</v>
      </c>
      <c r="E870" s="2">
        <v>1</v>
      </c>
      <c r="F870" s="2">
        <v>1.62505799997598</v>
      </c>
      <c r="G870" s="2" t="s">
        <v>847</v>
      </c>
      <c r="H870" s="2" t="s">
        <v>240</v>
      </c>
      <c r="I870" s="2" t="s">
        <v>16</v>
      </c>
      <c r="J870" s="2" t="s">
        <v>1773</v>
      </c>
      <c r="K870" s="2">
        <v>108.80192466662299</v>
      </c>
      <c r="L870" s="2">
        <v>110.427034166642</v>
      </c>
      <c r="M870" s="2">
        <v>59.998440056619202</v>
      </c>
    </row>
    <row r="871" spans="1:13" x14ac:dyDescent="0.2">
      <c r="A871" s="2" t="s">
        <v>1668</v>
      </c>
      <c r="B871" s="2">
        <v>70</v>
      </c>
      <c r="C871" s="2">
        <v>5</v>
      </c>
      <c r="D871" s="2">
        <v>1</v>
      </c>
      <c r="E871" s="2">
        <v>1</v>
      </c>
      <c r="F871" s="2">
        <v>1.0960094999754799</v>
      </c>
      <c r="G871" s="2" t="s">
        <v>472</v>
      </c>
      <c r="H871" s="2" t="s">
        <v>630</v>
      </c>
      <c r="I871" s="2" t="s">
        <v>16</v>
      </c>
      <c r="J871" s="2" t="s">
        <v>1774</v>
      </c>
      <c r="K871" s="2">
        <v>110.43098141660499</v>
      </c>
      <c r="L871" s="2">
        <v>111.52704316668699</v>
      </c>
      <c r="M871" s="2">
        <v>59.998440056619202</v>
      </c>
    </row>
    <row r="872" spans="1:13" x14ac:dyDescent="0.2">
      <c r="A872" s="2" t="s">
        <v>1668</v>
      </c>
      <c r="B872" s="2">
        <v>71</v>
      </c>
      <c r="C872" s="2">
        <v>5</v>
      </c>
      <c r="D872" s="2">
        <v>1</v>
      </c>
      <c r="E872" s="2">
        <v>1</v>
      </c>
      <c r="F872" s="2">
        <v>1.8620846249395999</v>
      </c>
      <c r="G872" s="2" t="s">
        <v>605</v>
      </c>
      <c r="H872" s="2" t="s">
        <v>1775</v>
      </c>
      <c r="I872" s="2" t="s">
        <v>16</v>
      </c>
      <c r="J872" s="2" t="s">
        <v>1776</v>
      </c>
      <c r="K872" s="2">
        <v>111.531517541618</v>
      </c>
      <c r="L872" s="2">
        <v>113.393629999948</v>
      </c>
      <c r="M872" s="2">
        <v>59.998440056619202</v>
      </c>
    </row>
    <row r="873" spans="1:13" x14ac:dyDescent="0.2">
      <c r="A873" s="2" t="s">
        <v>1668</v>
      </c>
      <c r="B873" s="2">
        <v>72</v>
      </c>
      <c r="C873" s="2">
        <v>5</v>
      </c>
      <c r="D873" s="2">
        <v>1</v>
      </c>
      <c r="E873" s="2">
        <v>1</v>
      </c>
      <c r="F873" s="2">
        <v>1.1122127498965699</v>
      </c>
      <c r="G873" s="2" t="s">
        <v>1777</v>
      </c>
      <c r="H873" s="2" t="s">
        <v>1778</v>
      </c>
      <c r="I873" s="2" t="s">
        <v>16</v>
      </c>
      <c r="J873" s="2" t="s">
        <v>1779</v>
      </c>
      <c r="K873" s="2">
        <v>113.39798345835899</v>
      </c>
      <c r="L873" s="2">
        <v>114.510237958282</v>
      </c>
      <c r="M873" s="2">
        <v>59.998440056619202</v>
      </c>
    </row>
    <row r="874" spans="1:13" x14ac:dyDescent="0.2">
      <c r="A874" s="2" t="s">
        <v>1668</v>
      </c>
      <c r="B874" s="2">
        <v>73</v>
      </c>
      <c r="C874" s="2">
        <v>10</v>
      </c>
      <c r="D874" s="2">
        <v>1</v>
      </c>
      <c r="E874" s="2">
        <v>1</v>
      </c>
      <c r="F874" s="2">
        <v>1.12597725004889</v>
      </c>
      <c r="G874" s="2" t="s">
        <v>263</v>
      </c>
      <c r="H874" s="2" t="s">
        <v>540</v>
      </c>
      <c r="I874" s="2" t="s">
        <v>16</v>
      </c>
      <c r="J874" s="2" t="s">
        <v>1780</v>
      </c>
      <c r="K874" s="2">
        <v>114.51782225002501</v>
      </c>
      <c r="L874" s="2">
        <v>115.643824416678</v>
      </c>
      <c r="M874" s="2">
        <v>59.998440056619202</v>
      </c>
    </row>
    <row r="875" spans="1:13" x14ac:dyDescent="0.2">
      <c r="A875" s="2" t="s">
        <v>1668</v>
      </c>
      <c r="B875" s="2">
        <v>74</v>
      </c>
      <c r="C875" s="2">
        <v>5</v>
      </c>
      <c r="D875" s="2">
        <v>1</v>
      </c>
      <c r="E875" s="2">
        <v>1</v>
      </c>
      <c r="F875" s="2">
        <v>1.26330879167654</v>
      </c>
      <c r="G875" s="2" t="s">
        <v>751</v>
      </c>
      <c r="H875" s="2" t="s">
        <v>1290</v>
      </c>
      <c r="I875" s="2" t="s">
        <v>16</v>
      </c>
      <c r="J875" s="2" t="s">
        <v>1781</v>
      </c>
      <c r="K875" s="2">
        <v>115.647649791674</v>
      </c>
      <c r="L875" s="2">
        <v>116.91101408330699</v>
      </c>
      <c r="M875" s="2">
        <v>59.998440056619202</v>
      </c>
    </row>
    <row r="876" spans="1:13" x14ac:dyDescent="0.2">
      <c r="A876" s="2" t="s">
        <v>1668</v>
      </c>
      <c r="B876" s="2">
        <v>75</v>
      </c>
      <c r="C876" s="2">
        <v>5</v>
      </c>
      <c r="D876" s="2">
        <v>1</v>
      </c>
      <c r="E876" s="2">
        <v>1</v>
      </c>
      <c r="F876" s="2">
        <v>1.1442434166092399</v>
      </c>
      <c r="G876" s="2" t="s">
        <v>1782</v>
      </c>
      <c r="H876" s="2" t="s">
        <v>1136</v>
      </c>
      <c r="I876" s="2" t="s">
        <v>16</v>
      </c>
      <c r="J876" s="2" t="s">
        <v>1783</v>
      </c>
      <c r="K876" s="2">
        <v>116.916464291629</v>
      </c>
      <c r="L876" s="2">
        <v>118.06074154167401</v>
      </c>
      <c r="M876" s="2">
        <v>59.998440056619202</v>
      </c>
    </row>
    <row r="877" spans="1:13" x14ac:dyDescent="0.2">
      <c r="A877" s="2" t="s">
        <v>1668</v>
      </c>
      <c r="B877" s="2">
        <v>76</v>
      </c>
      <c r="C877" s="2">
        <v>10</v>
      </c>
      <c r="D877" s="2">
        <v>1</v>
      </c>
      <c r="E877" s="2">
        <v>1</v>
      </c>
      <c r="F877" s="2">
        <v>1.5413736666087099</v>
      </c>
      <c r="G877" s="2" t="s">
        <v>857</v>
      </c>
      <c r="H877" s="2" t="s">
        <v>1784</v>
      </c>
      <c r="I877" s="2" t="s">
        <v>16</v>
      </c>
      <c r="J877" s="2" t="s">
        <v>1785</v>
      </c>
      <c r="K877" s="2">
        <v>118.06898479163701</v>
      </c>
      <c r="L877" s="2">
        <v>119.610387999914</v>
      </c>
      <c r="M877" s="2">
        <v>59.998440056619202</v>
      </c>
    </row>
    <row r="878" spans="1:13" x14ac:dyDescent="0.2">
      <c r="A878" s="2" t="s">
        <v>1668</v>
      </c>
      <c r="B878" s="2">
        <v>77</v>
      </c>
      <c r="C878" s="2">
        <v>5</v>
      </c>
      <c r="D878" s="2">
        <v>1</v>
      </c>
      <c r="E878" s="2">
        <v>1</v>
      </c>
      <c r="F878" s="2">
        <v>1.71217241662089</v>
      </c>
      <c r="G878" s="2" t="s">
        <v>1786</v>
      </c>
      <c r="H878" s="2" t="s">
        <v>164</v>
      </c>
      <c r="I878" s="2" t="s">
        <v>16</v>
      </c>
      <c r="J878" s="2" t="s">
        <v>1787</v>
      </c>
      <c r="K878" s="2">
        <v>119.614767791587</v>
      </c>
      <c r="L878" s="2">
        <v>121.326981416671</v>
      </c>
      <c r="M878" s="2">
        <v>59.998440056619202</v>
      </c>
    </row>
    <row r="879" spans="1:13" x14ac:dyDescent="0.2">
      <c r="A879" s="2" t="s">
        <v>1668</v>
      </c>
      <c r="B879" s="2">
        <v>78</v>
      </c>
      <c r="C879" s="2">
        <v>5</v>
      </c>
      <c r="D879" s="2">
        <v>1</v>
      </c>
      <c r="E879" s="2">
        <v>1</v>
      </c>
      <c r="F879" s="2">
        <v>1.22932037501596</v>
      </c>
      <c r="G879" s="2" t="s">
        <v>90</v>
      </c>
      <c r="H879" s="2" t="s">
        <v>494</v>
      </c>
      <c r="I879" s="2" t="s">
        <v>16</v>
      </c>
      <c r="J879" s="2" t="s">
        <v>1788</v>
      </c>
      <c r="K879" s="2">
        <v>121.33093804167601</v>
      </c>
      <c r="L879" s="2">
        <v>122.56028437498</v>
      </c>
      <c r="M879" s="2">
        <v>59.998440056619202</v>
      </c>
    </row>
    <row r="880" spans="1:13" x14ac:dyDescent="0.2">
      <c r="A880" s="2" t="s">
        <v>1668</v>
      </c>
      <c r="B880" s="2">
        <v>79</v>
      </c>
      <c r="C880" s="2">
        <v>10</v>
      </c>
      <c r="D880" s="2">
        <v>1</v>
      </c>
      <c r="E880" s="2">
        <v>1</v>
      </c>
      <c r="F880" s="2">
        <v>1.4762516666669401</v>
      </c>
      <c r="G880" s="2" t="s">
        <v>1458</v>
      </c>
      <c r="H880" s="2" t="s">
        <v>1005</v>
      </c>
      <c r="I880" s="2" t="s">
        <v>16</v>
      </c>
      <c r="J880" s="2" t="s">
        <v>1789</v>
      </c>
      <c r="K880" s="2">
        <v>122.567302958341</v>
      </c>
      <c r="L880" s="2">
        <v>124.043611124973</v>
      </c>
      <c r="M880" s="2">
        <v>59.998440056619202</v>
      </c>
    </row>
    <row r="881" spans="1:13" x14ac:dyDescent="0.2">
      <c r="A881" s="2" t="s">
        <v>1668</v>
      </c>
      <c r="B881" s="2">
        <v>80</v>
      </c>
      <c r="C881" s="2">
        <v>10</v>
      </c>
      <c r="D881" s="2">
        <v>1</v>
      </c>
      <c r="E881" s="2">
        <v>1</v>
      </c>
      <c r="F881" s="2">
        <v>1.5918406666023699</v>
      </c>
      <c r="G881" s="2" t="s">
        <v>198</v>
      </c>
      <c r="H881" s="2" t="s">
        <v>412</v>
      </c>
      <c r="I881" s="2" t="s">
        <v>16</v>
      </c>
      <c r="J881" s="2" t="s">
        <v>1790</v>
      </c>
      <c r="K881" s="2">
        <v>124.05182995833501</v>
      </c>
      <c r="L881" s="2">
        <v>125.64372695831101</v>
      </c>
      <c r="M881" s="2">
        <v>59.998440056619202</v>
      </c>
    </row>
    <row r="882" spans="1:13" x14ac:dyDescent="0.2">
      <c r="A882" s="2" t="s">
        <v>1668</v>
      </c>
      <c r="B882" s="2">
        <v>81</v>
      </c>
      <c r="C882" s="2">
        <v>10</v>
      </c>
      <c r="D882" s="2">
        <v>1</v>
      </c>
      <c r="E882" s="2">
        <v>1</v>
      </c>
      <c r="F882" s="2">
        <v>1.67539874999784</v>
      </c>
      <c r="G882" s="2" t="s">
        <v>305</v>
      </c>
      <c r="H882" s="2" t="s">
        <v>970</v>
      </c>
      <c r="I882" s="2" t="s">
        <v>16</v>
      </c>
      <c r="J882" s="2" t="s">
        <v>1791</v>
      </c>
      <c r="K882" s="2">
        <v>125.652359708329</v>
      </c>
      <c r="L882" s="2">
        <v>127.32781354163301</v>
      </c>
      <c r="M882" s="2">
        <v>59.998440056619202</v>
      </c>
    </row>
    <row r="883" spans="1:13" x14ac:dyDescent="0.2">
      <c r="A883" s="2" t="s">
        <v>1668</v>
      </c>
      <c r="B883" s="2">
        <v>82</v>
      </c>
      <c r="C883" s="2">
        <v>10</v>
      </c>
      <c r="D883" s="2">
        <v>1</v>
      </c>
      <c r="E883" s="2">
        <v>1</v>
      </c>
      <c r="F883" s="2">
        <v>1.40400766674429</v>
      </c>
      <c r="G883" s="2" t="s">
        <v>823</v>
      </c>
      <c r="H883" s="2" t="s">
        <v>172</v>
      </c>
      <c r="I883" s="2" t="s">
        <v>16</v>
      </c>
      <c r="J883" s="2" t="s">
        <v>1792</v>
      </c>
      <c r="K883" s="2">
        <v>127.33967454160999</v>
      </c>
      <c r="L883" s="2">
        <v>128.74373016669401</v>
      </c>
      <c r="M883" s="2">
        <v>59.998440056619202</v>
      </c>
    </row>
    <row r="884" spans="1:13" x14ac:dyDescent="0.2">
      <c r="A884" s="2" t="s">
        <v>1668</v>
      </c>
      <c r="B884" s="2">
        <v>83</v>
      </c>
      <c r="C884" s="2">
        <v>5</v>
      </c>
      <c r="D884" s="2">
        <v>1</v>
      </c>
      <c r="E884" s="2">
        <v>1</v>
      </c>
      <c r="F884" s="2">
        <v>1.5621126249898201</v>
      </c>
      <c r="G884" s="2" t="s">
        <v>41</v>
      </c>
      <c r="H884" s="2" t="s">
        <v>1793</v>
      </c>
      <c r="I884" s="2" t="s">
        <v>16</v>
      </c>
      <c r="J884" s="2" t="s">
        <v>1794</v>
      </c>
      <c r="K884" s="2">
        <v>128.74824441666701</v>
      </c>
      <c r="L884" s="2">
        <v>130.310403374955</v>
      </c>
      <c r="M884" s="2">
        <v>59.998440056619202</v>
      </c>
    </row>
    <row r="885" spans="1:13" x14ac:dyDescent="0.2">
      <c r="A885" s="2" t="s">
        <v>1668</v>
      </c>
      <c r="B885" s="2">
        <v>84</v>
      </c>
      <c r="C885" s="2">
        <v>5</v>
      </c>
      <c r="D885" s="2">
        <v>1</v>
      </c>
      <c r="E885" s="2">
        <v>1</v>
      </c>
      <c r="F885" s="2">
        <v>1.9127327500609701</v>
      </c>
      <c r="G885" s="2" t="s">
        <v>1099</v>
      </c>
      <c r="H885" s="2" t="s">
        <v>1795</v>
      </c>
      <c r="I885" s="2" t="s">
        <v>16</v>
      </c>
      <c r="J885" s="2" t="s">
        <v>1796</v>
      </c>
      <c r="K885" s="2">
        <v>130.31433637498401</v>
      </c>
      <c r="L885" s="2">
        <v>132.22709704167201</v>
      </c>
      <c r="M885" s="2">
        <v>59.998440056619202</v>
      </c>
    </row>
    <row r="886" spans="1:13" x14ac:dyDescent="0.2">
      <c r="A886" s="2" t="s">
        <v>1668</v>
      </c>
      <c r="B886" s="2">
        <v>85</v>
      </c>
      <c r="C886" s="2">
        <v>5</v>
      </c>
      <c r="D886" s="2">
        <v>1</v>
      </c>
      <c r="E886" s="2">
        <v>1</v>
      </c>
      <c r="F886" s="2">
        <v>1.1953716250136499</v>
      </c>
      <c r="G886" s="2" t="s">
        <v>1797</v>
      </c>
      <c r="H886" s="2" t="s">
        <v>395</v>
      </c>
      <c r="I886" s="2" t="s">
        <v>16</v>
      </c>
      <c r="J886" s="2" t="s">
        <v>1798</v>
      </c>
      <c r="K886" s="2">
        <v>132.23146912502099</v>
      </c>
      <c r="L886" s="2">
        <v>133.42687712493401</v>
      </c>
      <c r="M886" s="2">
        <v>59.998440056619202</v>
      </c>
    </row>
    <row r="887" spans="1:13" x14ac:dyDescent="0.2">
      <c r="A887" s="2" t="s">
        <v>1668</v>
      </c>
      <c r="B887" s="2">
        <v>86</v>
      </c>
      <c r="C887" s="2">
        <v>5</v>
      </c>
      <c r="D887" s="2">
        <v>1</v>
      </c>
      <c r="E887" s="2">
        <v>1</v>
      </c>
      <c r="F887" s="2">
        <v>1.2460231250152001</v>
      </c>
      <c r="G887" s="2" t="s">
        <v>1799</v>
      </c>
      <c r="H887" s="2" t="s">
        <v>269</v>
      </c>
      <c r="I887" s="2" t="s">
        <v>16</v>
      </c>
      <c r="J887" s="2" t="s">
        <v>1800</v>
      </c>
      <c r="K887" s="2">
        <v>133.43085604161001</v>
      </c>
      <c r="L887" s="2">
        <v>134.67690270824801</v>
      </c>
      <c r="M887" s="2">
        <v>59.998440056619202</v>
      </c>
    </row>
    <row r="888" spans="1:13" x14ac:dyDescent="0.2">
      <c r="A888" s="2" t="s">
        <v>1668</v>
      </c>
      <c r="B888" s="2">
        <v>87</v>
      </c>
      <c r="C888" s="2">
        <v>10</v>
      </c>
      <c r="D888" s="2">
        <v>1</v>
      </c>
      <c r="E888" s="2">
        <v>1</v>
      </c>
      <c r="F888" s="2">
        <v>1.5264831250533499</v>
      </c>
      <c r="G888" s="2" t="s">
        <v>1801</v>
      </c>
      <c r="H888" s="2" t="s">
        <v>141</v>
      </c>
      <c r="I888" s="2" t="s">
        <v>16</v>
      </c>
      <c r="J888" s="2" t="s">
        <v>1802</v>
      </c>
      <c r="K888" s="2">
        <v>134.68392462492901</v>
      </c>
      <c r="L888" s="2">
        <v>136.210437291651</v>
      </c>
      <c r="M888" s="2">
        <v>59.998440056619202</v>
      </c>
    </row>
    <row r="889" spans="1:13" x14ac:dyDescent="0.2">
      <c r="A889" s="2" t="s">
        <v>1668</v>
      </c>
      <c r="B889" s="2">
        <v>88</v>
      </c>
      <c r="C889" s="2">
        <v>5</v>
      </c>
      <c r="D889" s="2">
        <v>1</v>
      </c>
      <c r="E889" s="2">
        <v>1</v>
      </c>
      <c r="F889" s="2">
        <v>1.54561416665092</v>
      </c>
      <c r="G889" s="2" t="s">
        <v>528</v>
      </c>
      <c r="H889" s="2" t="s">
        <v>1803</v>
      </c>
      <c r="I889" s="2" t="s">
        <v>16</v>
      </c>
      <c r="J889" s="2" t="s">
        <v>1804</v>
      </c>
      <c r="K889" s="2">
        <v>136.21481083333501</v>
      </c>
      <c r="L889" s="2">
        <v>137.760459124926</v>
      </c>
      <c r="M889" s="2">
        <v>59.998440056619202</v>
      </c>
    </row>
    <row r="890" spans="1:13" x14ac:dyDescent="0.2">
      <c r="A890" s="2" t="s">
        <v>1668</v>
      </c>
      <c r="B890" s="2">
        <v>89</v>
      </c>
      <c r="C890" s="2">
        <v>10</v>
      </c>
      <c r="D890" s="2">
        <v>1</v>
      </c>
      <c r="E890" s="2">
        <v>1</v>
      </c>
      <c r="F890" s="2">
        <v>1.4066200833767699</v>
      </c>
      <c r="G890" s="2" t="s">
        <v>592</v>
      </c>
      <c r="H890" s="2" t="s">
        <v>323</v>
      </c>
      <c r="I890" s="2" t="s">
        <v>16</v>
      </c>
      <c r="J890" s="2" t="s">
        <v>1805</v>
      </c>
      <c r="K890" s="2">
        <v>137.77035037498001</v>
      </c>
      <c r="L890" s="2">
        <v>139.17699662491199</v>
      </c>
      <c r="M890" s="2">
        <v>59.998440056619202</v>
      </c>
    </row>
    <row r="891" spans="1:13" x14ac:dyDescent="0.2">
      <c r="A891" s="2" t="s">
        <v>1668</v>
      </c>
      <c r="B891" s="2">
        <v>90</v>
      </c>
      <c r="C891" s="2">
        <v>10</v>
      </c>
      <c r="D891" s="2">
        <v>1</v>
      </c>
      <c r="E891" s="2">
        <v>1</v>
      </c>
      <c r="F891" s="2">
        <v>1.5258387082722</v>
      </c>
      <c r="G891" s="2" t="s">
        <v>666</v>
      </c>
      <c r="H891" s="2" t="s">
        <v>506</v>
      </c>
      <c r="I891" s="2" t="s">
        <v>16</v>
      </c>
      <c r="J891" s="2" t="s">
        <v>1806</v>
      </c>
      <c r="K891" s="2">
        <v>139.18505141662899</v>
      </c>
      <c r="L891" s="2">
        <v>140.71091987495299</v>
      </c>
      <c r="M891" s="2">
        <v>59.998440056619202</v>
      </c>
    </row>
    <row r="892" spans="1:13" x14ac:dyDescent="0.2">
      <c r="A892" s="2" t="s">
        <v>1668</v>
      </c>
      <c r="B892" s="2">
        <v>91</v>
      </c>
      <c r="C892" s="2">
        <v>5</v>
      </c>
      <c r="D892" s="2">
        <v>1</v>
      </c>
      <c r="E892" s="2">
        <v>1</v>
      </c>
      <c r="F892" s="2">
        <v>1.1115572500275499</v>
      </c>
      <c r="G892" s="2" t="s">
        <v>1807</v>
      </c>
      <c r="H892" s="2" t="s">
        <v>819</v>
      </c>
      <c r="I892" s="2" t="s">
        <v>16</v>
      </c>
      <c r="J892" s="2" t="s">
        <v>1808</v>
      </c>
      <c r="K892" s="2">
        <v>140.71537916665</v>
      </c>
      <c r="L892" s="2">
        <v>141.827011041693</v>
      </c>
      <c r="M892" s="2">
        <v>59.998440056619202</v>
      </c>
    </row>
    <row r="893" spans="1:13" x14ac:dyDescent="0.2">
      <c r="A893" s="2" t="s">
        <v>1668</v>
      </c>
      <c r="B893" s="2">
        <v>92</v>
      </c>
      <c r="C893" s="2">
        <v>10</v>
      </c>
      <c r="D893" s="2">
        <v>1</v>
      </c>
      <c r="E893" s="2">
        <v>1</v>
      </c>
      <c r="F893" s="2">
        <v>1.6922060416545699</v>
      </c>
      <c r="G893" s="2" t="s">
        <v>800</v>
      </c>
      <c r="H893" s="2" t="s">
        <v>522</v>
      </c>
      <c r="I893" s="2" t="s">
        <v>16</v>
      </c>
      <c r="J893" s="2" t="s">
        <v>1809</v>
      </c>
      <c r="K893" s="2">
        <v>141.834307541605</v>
      </c>
      <c r="L893" s="2">
        <v>143.52655537496301</v>
      </c>
      <c r="M893" s="2">
        <v>59.998440056619202</v>
      </c>
    </row>
    <row r="894" spans="1:13" x14ac:dyDescent="0.2">
      <c r="A894" s="2" t="s">
        <v>1668</v>
      </c>
      <c r="B894" s="2">
        <v>93</v>
      </c>
      <c r="C894" s="2">
        <v>10</v>
      </c>
      <c r="D894" s="2">
        <v>1</v>
      </c>
      <c r="E894" s="2">
        <v>1</v>
      </c>
      <c r="F894" s="2">
        <v>1.24289637501352</v>
      </c>
      <c r="G894" s="2" t="s">
        <v>55</v>
      </c>
      <c r="H894" s="2" t="s">
        <v>355</v>
      </c>
      <c r="I894" s="2" t="s">
        <v>16</v>
      </c>
      <c r="J894" s="2" t="s">
        <v>1810</v>
      </c>
      <c r="K894" s="2">
        <v>143.534676166601</v>
      </c>
      <c r="L894" s="2">
        <v>144.777631708304</v>
      </c>
      <c r="M894" s="2">
        <v>59.998440056619202</v>
      </c>
    </row>
    <row r="895" spans="1:13" x14ac:dyDescent="0.2">
      <c r="A895" s="2" t="s">
        <v>1668</v>
      </c>
      <c r="B895" s="2">
        <v>94</v>
      </c>
      <c r="C895" s="2">
        <v>5</v>
      </c>
      <c r="D895" s="2">
        <v>1</v>
      </c>
      <c r="E895" s="2">
        <v>1</v>
      </c>
      <c r="F895" s="2">
        <v>1.3939999166177599</v>
      </c>
      <c r="G895" s="2" t="s">
        <v>1811</v>
      </c>
      <c r="H895" s="2" t="s">
        <v>1330</v>
      </c>
      <c r="I895" s="2" t="s">
        <v>16</v>
      </c>
      <c r="J895" s="2" t="s">
        <v>1812</v>
      </c>
      <c r="K895" s="2">
        <v>144.78298287501099</v>
      </c>
      <c r="L895" s="2">
        <v>146.177018041606</v>
      </c>
      <c r="M895" s="2">
        <v>59.998440056619202</v>
      </c>
    </row>
    <row r="896" spans="1:13" x14ac:dyDescent="0.2">
      <c r="A896" s="2" t="s">
        <v>1668</v>
      </c>
      <c r="B896" s="2">
        <v>95</v>
      </c>
      <c r="C896" s="2">
        <v>10</v>
      </c>
      <c r="D896" s="2">
        <v>1</v>
      </c>
      <c r="E896" s="2">
        <v>1</v>
      </c>
      <c r="F896" s="2">
        <v>1.5929534999886501</v>
      </c>
      <c r="G896" s="2" t="s">
        <v>412</v>
      </c>
      <c r="H896" s="2" t="s">
        <v>49</v>
      </c>
      <c r="I896" s="2" t="s">
        <v>16</v>
      </c>
      <c r="J896" s="2" t="s">
        <v>1813</v>
      </c>
      <c r="K896" s="2">
        <v>146.185027875006</v>
      </c>
      <c r="L896" s="2">
        <v>147.778049833258</v>
      </c>
      <c r="M896" s="2">
        <v>59.998440056619202</v>
      </c>
    </row>
    <row r="897" spans="1:13" x14ac:dyDescent="0.2">
      <c r="A897" s="2" t="s">
        <v>1668</v>
      </c>
      <c r="B897" s="2">
        <v>96</v>
      </c>
      <c r="C897" s="2">
        <v>5</v>
      </c>
      <c r="D897" s="2">
        <v>1</v>
      </c>
      <c r="E897" s="2">
        <v>1</v>
      </c>
      <c r="F897" s="2">
        <v>1.2587059166980901</v>
      </c>
      <c r="G897" s="2" t="s">
        <v>446</v>
      </c>
      <c r="H897" s="2" t="s">
        <v>142</v>
      </c>
      <c r="I897" s="2" t="s">
        <v>16</v>
      </c>
      <c r="J897" s="2" t="s">
        <v>1814</v>
      </c>
      <c r="K897" s="2">
        <v>147.78525166667501</v>
      </c>
      <c r="L897" s="2">
        <v>149.044004666619</v>
      </c>
      <c r="M897" s="2">
        <v>59.998440056619202</v>
      </c>
    </row>
    <row r="898" spans="1:13" x14ac:dyDescent="0.2">
      <c r="A898" s="2" t="s">
        <v>1668</v>
      </c>
      <c r="B898" s="2">
        <v>97</v>
      </c>
      <c r="C898" s="2">
        <v>5</v>
      </c>
      <c r="D898" s="2">
        <v>1</v>
      </c>
      <c r="E898" s="2">
        <v>1</v>
      </c>
      <c r="F898" s="2">
        <v>1.6950265415944199</v>
      </c>
      <c r="G898" s="2" t="s">
        <v>1408</v>
      </c>
      <c r="H898" s="2" t="s">
        <v>1149</v>
      </c>
      <c r="I898" s="2" t="s">
        <v>16</v>
      </c>
      <c r="J898" s="2" t="s">
        <v>1815</v>
      </c>
      <c r="K898" s="2">
        <v>149.04841349995701</v>
      </c>
      <c r="L898" s="2">
        <v>150.74346283334299</v>
      </c>
      <c r="M898" s="2">
        <v>59.998440056619202</v>
      </c>
    </row>
    <row r="899" spans="1:13" x14ac:dyDescent="0.2">
      <c r="A899" s="2" t="s">
        <v>1668</v>
      </c>
      <c r="B899" s="2">
        <v>98</v>
      </c>
      <c r="C899" s="2">
        <v>10</v>
      </c>
      <c r="D899" s="2">
        <v>1</v>
      </c>
      <c r="E899" s="2">
        <v>1</v>
      </c>
      <c r="F899" s="2">
        <v>1.4435680833412301</v>
      </c>
      <c r="G899" s="2" t="s">
        <v>1713</v>
      </c>
      <c r="H899" s="2" t="s">
        <v>414</v>
      </c>
      <c r="I899" s="2" t="s">
        <v>16</v>
      </c>
      <c r="J899" s="2" t="s">
        <v>1816</v>
      </c>
      <c r="K899" s="2">
        <v>150.75063241669</v>
      </c>
      <c r="L899" s="2">
        <v>152.194235583302</v>
      </c>
      <c r="M899" s="2">
        <v>59.998440056619202</v>
      </c>
    </row>
    <row r="900" spans="1:13" x14ac:dyDescent="0.2">
      <c r="A900" s="2" t="s">
        <v>1668</v>
      </c>
      <c r="B900" s="2">
        <v>99</v>
      </c>
      <c r="C900" s="2">
        <v>5</v>
      </c>
      <c r="D900" s="2">
        <v>1</v>
      </c>
      <c r="E900" s="2">
        <v>1</v>
      </c>
      <c r="F900" s="2">
        <v>1.37808287504595</v>
      </c>
      <c r="G900" s="2" t="s">
        <v>861</v>
      </c>
      <c r="H900" s="2" t="s">
        <v>1713</v>
      </c>
      <c r="I900" s="2" t="s">
        <v>16</v>
      </c>
      <c r="J900" s="2" t="s">
        <v>1817</v>
      </c>
      <c r="K900" s="2">
        <v>152.19878433330501</v>
      </c>
      <c r="L900" s="2">
        <v>153.57691316667501</v>
      </c>
      <c r="M900" s="2">
        <v>59.998440056619202</v>
      </c>
    </row>
    <row r="901" spans="1:13" x14ac:dyDescent="0.2">
      <c r="A901" s="2" t="s">
        <v>1668</v>
      </c>
      <c r="B901" s="2">
        <v>100</v>
      </c>
      <c r="C901" s="2">
        <v>5</v>
      </c>
      <c r="D901" s="2">
        <v>1</v>
      </c>
      <c r="E901" s="2">
        <v>1</v>
      </c>
      <c r="F901" s="2">
        <v>1.3623286666115799</v>
      </c>
      <c r="G901" s="2" t="s">
        <v>1037</v>
      </c>
      <c r="H901" s="2" t="s">
        <v>579</v>
      </c>
      <c r="I901" s="2" t="s">
        <v>16</v>
      </c>
      <c r="J901" s="2" t="s">
        <v>1818</v>
      </c>
      <c r="K901" s="2">
        <v>153.581396833295</v>
      </c>
      <c r="L901" s="2">
        <v>154.94375479163099</v>
      </c>
      <c r="M901" s="2">
        <v>59.998440056619202</v>
      </c>
    </row>
    <row r="902" spans="1:13" x14ac:dyDescent="0.2">
      <c r="A902" s="2" t="s">
        <v>1668</v>
      </c>
      <c r="B902" s="2">
        <v>101</v>
      </c>
      <c r="C902" s="2">
        <v>5</v>
      </c>
      <c r="D902" s="2">
        <v>1</v>
      </c>
      <c r="E902" s="2">
        <v>1</v>
      </c>
      <c r="F902" s="2">
        <v>1.1786961250472801</v>
      </c>
      <c r="G902" s="2" t="s">
        <v>94</v>
      </c>
      <c r="H902" s="2" t="s">
        <v>440</v>
      </c>
      <c r="I902" s="2" t="s">
        <v>16</v>
      </c>
      <c r="J902" s="2" t="s">
        <v>1819</v>
      </c>
      <c r="K902" s="2">
        <v>154.948169333278</v>
      </c>
      <c r="L902" s="2">
        <v>156.12689120834699</v>
      </c>
      <c r="M902" s="2">
        <v>59.998440056619202</v>
      </c>
    </row>
    <row r="903" spans="1:13" x14ac:dyDescent="0.2">
      <c r="A903" s="2" t="s">
        <v>1668</v>
      </c>
      <c r="B903" s="2">
        <v>102</v>
      </c>
      <c r="C903" s="2">
        <v>5</v>
      </c>
      <c r="D903" s="2">
        <v>1</v>
      </c>
      <c r="E903" s="2">
        <v>1</v>
      </c>
      <c r="F903" s="2">
        <v>1.4959800832439201</v>
      </c>
      <c r="G903" s="2" t="s">
        <v>483</v>
      </c>
      <c r="H903" s="2" t="s">
        <v>382</v>
      </c>
      <c r="I903" s="2" t="s">
        <v>16</v>
      </c>
      <c r="J903" s="2" t="s">
        <v>1820</v>
      </c>
      <c r="K903" s="2">
        <v>156.13122287497399</v>
      </c>
      <c r="L903" s="2">
        <v>157.627245666692</v>
      </c>
      <c r="M903" s="2">
        <v>59.998440056619202</v>
      </c>
    </row>
    <row r="904" spans="1:13" x14ac:dyDescent="0.2">
      <c r="A904" s="2" t="s">
        <v>1668</v>
      </c>
      <c r="B904" s="2">
        <v>103</v>
      </c>
      <c r="C904" s="2">
        <v>10</v>
      </c>
      <c r="D904" s="2">
        <v>1</v>
      </c>
      <c r="E904" s="2">
        <v>1</v>
      </c>
      <c r="F904" s="2">
        <v>2.5251625416567598</v>
      </c>
      <c r="G904" s="2" t="s">
        <v>1139</v>
      </c>
      <c r="H904" s="2" t="s">
        <v>724</v>
      </c>
      <c r="I904" s="2" t="s">
        <v>16</v>
      </c>
      <c r="J904" s="2" t="s">
        <v>1821</v>
      </c>
      <c r="K904" s="2">
        <v>157.63541512494001</v>
      </c>
      <c r="L904" s="2">
        <v>160.16062033327799</v>
      </c>
      <c r="M904" s="2">
        <v>59.998440056619202</v>
      </c>
    </row>
    <row r="905" spans="1:13" x14ac:dyDescent="0.2">
      <c r="A905" s="2" t="s">
        <v>1668</v>
      </c>
      <c r="B905" s="2">
        <v>104</v>
      </c>
      <c r="C905" s="2">
        <v>10</v>
      </c>
      <c r="D905" s="2">
        <v>1</v>
      </c>
      <c r="E905" s="2">
        <v>1</v>
      </c>
      <c r="F905" s="2">
        <v>1.2578932082979</v>
      </c>
      <c r="G905" s="2" t="s">
        <v>119</v>
      </c>
      <c r="H905" s="2" t="s">
        <v>580</v>
      </c>
      <c r="I905" s="2" t="s">
        <v>16</v>
      </c>
      <c r="J905" s="2" t="s">
        <v>1822</v>
      </c>
      <c r="K905" s="2">
        <v>160.16889254166699</v>
      </c>
      <c r="L905" s="2">
        <v>161.42683058325201</v>
      </c>
      <c r="M905" s="2">
        <v>59.998440056619202</v>
      </c>
    </row>
    <row r="906" spans="1:13" x14ac:dyDescent="0.2">
      <c r="A906" s="2" t="s">
        <v>1668</v>
      </c>
      <c r="B906" s="2">
        <v>105</v>
      </c>
      <c r="C906" s="2">
        <v>5</v>
      </c>
      <c r="D906" s="2">
        <v>1</v>
      </c>
      <c r="E906" s="2">
        <v>1</v>
      </c>
      <c r="F906" s="2">
        <v>1.4293396249413499</v>
      </c>
      <c r="G906" s="2" t="s">
        <v>1500</v>
      </c>
      <c r="H906" s="2" t="s">
        <v>505</v>
      </c>
      <c r="I906" s="2" t="s">
        <v>16</v>
      </c>
      <c r="J906" s="2" t="s">
        <v>1823</v>
      </c>
      <c r="K906" s="2">
        <v>161.43078179168501</v>
      </c>
      <c r="L906" s="2">
        <v>162.86014612496399</v>
      </c>
      <c r="M906" s="2">
        <v>59.998440056619202</v>
      </c>
    </row>
    <row r="907" spans="1:13" x14ac:dyDescent="0.2">
      <c r="A907" s="2" t="s">
        <v>1668</v>
      </c>
      <c r="B907" s="2">
        <v>106</v>
      </c>
      <c r="C907" s="2">
        <v>10</v>
      </c>
      <c r="D907" s="2">
        <v>1</v>
      </c>
      <c r="E907" s="2">
        <v>1</v>
      </c>
      <c r="F907" s="2">
        <v>1.7426175416912899</v>
      </c>
      <c r="G907" s="2" t="s">
        <v>1824</v>
      </c>
      <c r="H907" s="2" t="s">
        <v>202</v>
      </c>
      <c r="I907" s="2" t="s">
        <v>16</v>
      </c>
      <c r="J907" s="2" t="s">
        <v>1825</v>
      </c>
      <c r="K907" s="2">
        <v>162.867643208359</v>
      </c>
      <c r="L907" s="2">
        <v>164.61029024992601</v>
      </c>
      <c r="M907" s="2">
        <v>59.998440056619202</v>
      </c>
    </row>
    <row r="908" spans="1:13" x14ac:dyDescent="0.2">
      <c r="A908" s="2" t="s">
        <v>1668</v>
      </c>
      <c r="B908" s="2">
        <v>107</v>
      </c>
      <c r="C908" s="2">
        <v>10</v>
      </c>
      <c r="D908" s="2">
        <v>1</v>
      </c>
      <c r="E908" s="2">
        <v>1</v>
      </c>
      <c r="F908" s="2">
        <v>1.3085331249749299</v>
      </c>
      <c r="G908" s="2" t="s">
        <v>1608</v>
      </c>
      <c r="H908" s="2" t="s">
        <v>537</v>
      </c>
      <c r="I908" s="2" t="s">
        <v>16</v>
      </c>
      <c r="J908" s="2" t="s">
        <v>1826</v>
      </c>
      <c r="K908" s="2">
        <v>164.61839362501601</v>
      </c>
      <c r="L908" s="2">
        <v>165.92695416661499</v>
      </c>
      <c r="M908" s="2">
        <v>59.998440056619202</v>
      </c>
    </row>
    <row r="909" spans="1:13" x14ac:dyDescent="0.2">
      <c r="A909" s="2" t="s">
        <v>1668</v>
      </c>
      <c r="B909" s="2">
        <v>108</v>
      </c>
      <c r="C909" s="2">
        <v>10</v>
      </c>
      <c r="D909" s="2">
        <v>1</v>
      </c>
      <c r="E909" s="2">
        <v>1</v>
      </c>
      <c r="F909" s="2">
        <v>1.3585923333885199</v>
      </c>
      <c r="G909" s="2" t="s">
        <v>1327</v>
      </c>
      <c r="H909" s="2" t="s">
        <v>856</v>
      </c>
      <c r="I909" s="2" t="s">
        <v>16</v>
      </c>
      <c r="J909" s="2" t="s">
        <v>1827</v>
      </c>
      <c r="K909" s="2">
        <v>165.93504754162899</v>
      </c>
      <c r="L909" s="2">
        <v>167.293668333325</v>
      </c>
      <c r="M909" s="2">
        <v>59.998440056619202</v>
      </c>
    </row>
    <row r="910" spans="1:13" x14ac:dyDescent="0.2">
      <c r="A910" s="2" t="s">
        <v>1668</v>
      </c>
      <c r="B910" s="2">
        <v>109</v>
      </c>
      <c r="C910" s="2">
        <v>10</v>
      </c>
      <c r="D910" s="2">
        <v>3</v>
      </c>
      <c r="E910" s="2">
        <v>0</v>
      </c>
      <c r="F910" s="2">
        <v>2.39134062500671</v>
      </c>
      <c r="G910" s="2" t="s">
        <v>1828</v>
      </c>
      <c r="H910" s="2" t="s">
        <v>1829</v>
      </c>
      <c r="I910" s="2" t="s">
        <v>935</v>
      </c>
      <c r="J910" s="2" t="s">
        <v>1830</v>
      </c>
      <c r="K910" s="2">
        <v>167.30188162496799</v>
      </c>
      <c r="L910" s="2">
        <v>169.69325216661699</v>
      </c>
      <c r="M910" s="2">
        <v>59.998440056619202</v>
      </c>
    </row>
    <row r="911" spans="1:13" x14ac:dyDescent="0.2">
      <c r="A911" s="2" t="s">
        <v>1668</v>
      </c>
      <c r="B911" s="2">
        <v>110</v>
      </c>
      <c r="C911" s="2">
        <v>5</v>
      </c>
      <c r="D911" s="2">
        <v>1</v>
      </c>
      <c r="E911" s="2">
        <v>1</v>
      </c>
      <c r="F911" s="2">
        <v>1.4123144999612101</v>
      </c>
      <c r="G911" s="2" t="s">
        <v>925</v>
      </c>
      <c r="H911" s="2" t="s">
        <v>605</v>
      </c>
      <c r="I911" s="2" t="s">
        <v>16</v>
      </c>
      <c r="J911" s="2" t="s">
        <v>1831</v>
      </c>
      <c r="K911" s="2">
        <v>169.69786720827699</v>
      </c>
      <c r="L911" s="2">
        <v>171.11020666663501</v>
      </c>
      <c r="M911" s="2">
        <v>59.998440056619202</v>
      </c>
    </row>
    <row r="912" spans="1:13" x14ac:dyDescent="0.2">
      <c r="A912" s="2" t="s">
        <v>1668</v>
      </c>
      <c r="B912" s="2">
        <v>111</v>
      </c>
      <c r="C912" s="2">
        <v>10</v>
      </c>
      <c r="D912" s="2">
        <v>1</v>
      </c>
      <c r="E912" s="2">
        <v>1</v>
      </c>
      <c r="F912" s="2">
        <v>1.00943837501109</v>
      </c>
      <c r="G912" s="2" t="s">
        <v>802</v>
      </c>
      <c r="H912" s="2" t="s">
        <v>687</v>
      </c>
      <c r="I912" s="2" t="s">
        <v>16</v>
      </c>
      <c r="J912" s="2" t="s">
        <v>1832</v>
      </c>
      <c r="K912" s="2">
        <v>171.117374583264</v>
      </c>
      <c r="L912" s="2">
        <v>172.12683629163101</v>
      </c>
      <c r="M912" s="2">
        <v>59.998440056619202</v>
      </c>
    </row>
    <row r="913" spans="1:13" x14ac:dyDescent="0.2">
      <c r="A913" s="2" t="s">
        <v>1668</v>
      </c>
      <c r="B913" s="2">
        <v>112</v>
      </c>
      <c r="C913" s="2">
        <v>10</v>
      </c>
      <c r="D913" s="2">
        <v>1</v>
      </c>
      <c r="E913" s="2">
        <v>1</v>
      </c>
      <c r="F913" s="2">
        <v>1.3094801249681001</v>
      </c>
      <c r="G913" s="2" t="s">
        <v>1330</v>
      </c>
      <c r="H913" s="2" t="s">
        <v>1696</v>
      </c>
      <c r="I913" s="2" t="s">
        <v>16</v>
      </c>
      <c r="J913" s="2" t="s">
        <v>1833</v>
      </c>
      <c r="K913" s="2">
        <v>172.13405783334801</v>
      </c>
      <c r="L913" s="2">
        <v>173.443563708337</v>
      </c>
      <c r="M913" s="2">
        <v>59.998440056619202</v>
      </c>
    </row>
    <row r="914" spans="1:13" x14ac:dyDescent="0.2">
      <c r="A914" s="2" t="s">
        <v>1668</v>
      </c>
      <c r="B914" s="2">
        <v>113</v>
      </c>
      <c r="C914" s="2">
        <v>10</v>
      </c>
      <c r="D914" s="2">
        <v>1</v>
      </c>
      <c r="E914" s="2">
        <v>1</v>
      </c>
      <c r="F914" s="2">
        <v>1.4090064583579101</v>
      </c>
      <c r="G914" s="2" t="s">
        <v>1037</v>
      </c>
      <c r="H914" s="2" t="s">
        <v>167</v>
      </c>
      <c r="I914" s="2" t="s">
        <v>16</v>
      </c>
      <c r="J914" s="2" t="s">
        <v>1834</v>
      </c>
      <c r="K914" s="2">
        <v>173.45124466658999</v>
      </c>
      <c r="L914" s="2">
        <v>174.86028820835099</v>
      </c>
      <c r="M914" s="2">
        <v>59.998440056619202</v>
      </c>
    </row>
    <row r="915" spans="1:13" x14ac:dyDescent="0.2">
      <c r="A915" s="2" t="s">
        <v>1668</v>
      </c>
      <c r="B915" s="2">
        <v>114</v>
      </c>
      <c r="C915" s="2">
        <v>5</v>
      </c>
      <c r="D915" s="2">
        <v>1</v>
      </c>
      <c r="E915" s="2">
        <v>1</v>
      </c>
      <c r="F915" s="2">
        <v>1.54554441664368</v>
      </c>
      <c r="G915" s="2" t="s">
        <v>777</v>
      </c>
      <c r="H915" s="2" t="s">
        <v>1288</v>
      </c>
      <c r="I915" s="2" t="s">
        <v>16</v>
      </c>
      <c r="J915" s="2" t="s">
        <v>1835</v>
      </c>
      <c r="K915" s="2">
        <v>174.86467720835901</v>
      </c>
      <c r="L915" s="2">
        <v>176.41024983324999</v>
      </c>
      <c r="M915" s="2">
        <v>59.998440056619202</v>
      </c>
    </row>
    <row r="916" spans="1:13" x14ac:dyDescent="0.2">
      <c r="A916" s="2" t="s">
        <v>1668</v>
      </c>
      <c r="B916" s="2">
        <v>115</v>
      </c>
      <c r="C916" s="2">
        <v>5</v>
      </c>
      <c r="D916" s="2">
        <v>1</v>
      </c>
      <c r="E916" s="2">
        <v>1</v>
      </c>
      <c r="F916" s="2">
        <v>1.4954074582783501</v>
      </c>
      <c r="G916" s="2" t="s">
        <v>684</v>
      </c>
      <c r="H916" s="2" t="s">
        <v>1473</v>
      </c>
      <c r="I916" s="2" t="s">
        <v>16</v>
      </c>
      <c r="J916" s="2" t="s">
        <v>1836</v>
      </c>
      <c r="K916" s="2">
        <v>176.414703999995</v>
      </c>
      <c r="L916" s="2">
        <v>177.91013450000901</v>
      </c>
      <c r="M916" s="2">
        <v>59.998440056619202</v>
      </c>
    </row>
    <row r="917" spans="1:13" x14ac:dyDescent="0.2">
      <c r="A917" s="2" t="s">
        <v>1668</v>
      </c>
      <c r="B917" s="2">
        <v>116</v>
      </c>
      <c r="C917" s="2">
        <v>5</v>
      </c>
      <c r="D917" s="2">
        <v>1</v>
      </c>
      <c r="E917" s="2">
        <v>1</v>
      </c>
      <c r="F917" s="2">
        <v>1.24634125002194</v>
      </c>
      <c r="G917" s="2" t="s">
        <v>351</v>
      </c>
      <c r="H917" s="2" t="s">
        <v>777</v>
      </c>
      <c r="I917" s="2" t="s">
        <v>16</v>
      </c>
      <c r="J917" s="2" t="s">
        <v>1837</v>
      </c>
      <c r="K917" s="2">
        <v>177.91399787494501</v>
      </c>
      <c r="L917" s="2">
        <v>179.16039550001699</v>
      </c>
      <c r="M917" s="2">
        <v>59.998440056619202</v>
      </c>
    </row>
    <row r="918" spans="1:13" x14ac:dyDescent="0.2">
      <c r="A918" s="2" t="s">
        <v>1668</v>
      </c>
      <c r="B918" s="2">
        <v>117</v>
      </c>
      <c r="C918" s="2">
        <v>10</v>
      </c>
      <c r="D918" s="2">
        <v>1</v>
      </c>
      <c r="E918" s="2">
        <v>1</v>
      </c>
      <c r="F918" s="2">
        <v>1.3397725833347101</v>
      </c>
      <c r="G918" s="2" t="s">
        <v>1165</v>
      </c>
      <c r="H918" s="2" t="s">
        <v>280</v>
      </c>
      <c r="I918" s="2" t="s">
        <v>16</v>
      </c>
      <c r="J918" s="2" t="s">
        <v>1838</v>
      </c>
      <c r="K918" s="2">
        <v>179.170413916581</v>
      </c>
      <c r="L918" s="2">
        <v>180.510217916686</v>
      </c>
      <c r="M918" s="2">
        <v>59.998440056619202</v>
      </c>
    </row>
    <row r="919" spans="1:13" x14ac:dyDescent="0.2">
      <c r="A919" s="2" t="s">
        <v>1668</v>
      </c>
      <c r="B919" s="2">
        <v>118</v>
      </c>
      <c r="C919" s="2">
        <v>10</v>
      </c>
      <c r="D919" s="2">
        <v>1</v>
      </c>
      <c r="E919" s="2">
        <v>1</v>
      </c>
      <c r="F919" s="2">
        <v>1.25817762501538</v>
      </c>
      <c r="G919" s="2" t="s">
        <v>1839</v>
      </c>
      <c r="H919" s="2" t="s">
        <v>1840</v>
      </c>
      <c r="I919" s="2" t="s">
        <v>16</v>
      </c>
      <c r="J919" s="2" t="s">
        <v>1841</v>
      </c>
      <c r="K919" s="2">
        <v>180.51879312493799</v>
      </c>
      <c r="L919" s="2">
        <v>181.77701737498899</v>
      </c>
      <c r="M919" s="2">
        <v>59.998440056619202</v>
      </c>
    </row>
    <row r="920" spans="1:13" x14ac:dyDescent="0.2">
      <c r="A920" s="2" t="s">
        <v>1668</v>
      </c>
      <c r="B920" s="2">
        <v>119</v>
      </c>
      <c r="C920" s="2">
        <v>10</v>
      </c>
      <c r="D920" s="2">
        <v>1</v>
      </c>
      <c r="E920" s="2">
        <v>1</v>
      </c>
      <c r="F920" s="2">
        <v>0.94165904168039605</v>
      </c>
      <c r="G920" s="2" t="s">
        <v>65</v>
      </c>
      <c r="H920" s="2" t="s">
        <v>1000</v>
      </c>
      <c r="I920" s="2" t="s">
        <v>16</v>
      </c>
      <c r="J920" s="2" t="s">
        <v>1842</v>
      </c>
      <c r="K920" s="2">
        <v>181.785129999975</v>
      </c>
      <c r="L920" s="2">
        <v>182.726857499918</v>
      </c>
      <c r="M920" s="2">
        <v>59.998440056619202</v>
      </c>
    </row>
    <row r="921" spans="1:13" x14ac:dyDescent="0.2">
      <c r="A921" s="2" t="s">
        <v>1668</v>
      </c>
      <c r="B921" s="2">
        <v>120</v>
      </c>
      <c r="C921" s="2">
        <v>10</v>
      </c>
      <c r="D921" s="2">
        <v>1</v>
      </c>
      <c r="E921" s="2">
        <v>1</v>
      </c>
      <c r="F921" s="2">
        <v>1.6915669166483001</v>
      </c>
      <c r="G921" s="2" t="s">
        <v>1484</v>
      </c>
      <c r="H921" s="2" t="s">
        <v>509</v>
      </c>
      <c r="I921" s="2" t="s">
        <v>16</v>
      </c>
      <c r="J921" s="2" t="s">
        <v>1843</v>
      </c>
      <c r="K921" s="2">
        <v>182.735206208308</v>
      </c>
      <c r="L921" s="2">
        <v>184.42679604166199</v>
      </c>
      <c r="M921" s="2">
        <v>59.998440056619202</v>
      </c>
    </row>
    <row r="922" spans="1:13" x14ac:dyDescent="0.2">
      <c r="A922" s="2" t="s">
        <v>1668</v>
      </c>
      <c r="B922" s="2">
        <v>121</v>
      </c>
      <c r="C922" s="2">
        <v>10</v>
      </c>
      <c r="D922" s="2">
        <v>1</v>
      </c>
      <c r="E922" s="2">
        <v>1</v>
      </c>
      <c r="F922" s="2">
        <v>1.82583587500267</v>
      </c>
      <c r="G922" s="2" t="s">
        <v>697</v>
      </c>
      <c r="H922" s="2" t="s">
        <v>532</v>
      </c>
      <c r="I922" s="2" t="s">
        <v>16</v>
      </c>
      <c r="J922" s="2" t="s">
        <v>1844</v>
      </c>
      <c r="K922" s="2">
        <v>184.434357958264</v>
      </c>
      <c r="L922" s="2">
        <v>186.260227083345</v>
      </c>
      <c r="M922" s="2">
        <v>59.998440056619202</v>
      </c>
    </row>
    <row r="923" spans="1:13" x14ac:dyDescent="0.2">
      <c r="A923" s="2" t="s">
        <v>1668</v>
      </c>
      <c r="B923" s="2">
        <v>122</v>
      </c>
      <c r="C923" s="2">
        <v>5</v>
      </c>
      <c r="D923" s="2">
        <v>1</v>
      </c>
      <c r="E923" s="2">
        <v>1</v>
      </c>
      <c r="F923" s="2">
        <v>1.2961397083709001</v>
      </c>
      <c r="G923" s="2" t="s">
        <v>1845</v>
      </c>
      <c r="H923" s="2" t="s">
        <v>1846</v>
      </c>
      <c r="I923" s="2" t="s">
        <v>16</v>
      </c>
      <c r="J923" s="2" t="s">
        <v>1847</v>
      </c>
      <c r="K923" s="2">
        <v>186.26469937502401</v>
      </c>
      <c r="L923" s="2">
        <v>187.560873458278</v>
      </c>
      <c r="M923" s="2">
        <v>59.998440056619202</v>
      </c>
    </row>
    <row r="924" spans="1:13" x14ac:dyDescent="0.2">
      <c r="A924" s="2" t="s">
        <v>1668</v>
      </c>
      <c r="B924" s="2">
        <v>123</v>
      </c>
      <c r="C924" s="2">
        <v>5</v>
      </c>
      <c r="D924" s="2">
        <v>1</v>
      </c>
      <c r="E924" s="2">
        <v>1</v>
      </c>
      <c r="F924" s="2">
        <v>1.1785833332687601</v>
      </c>
      <c r="G924" s="2" t="s">
        <v>653</v>
      </c>
      <c r="H924" s="2" t="s">
        <v>1848</v>
      </c>
      <c r="I924" s="2" t="s">
        <v>16</v>
      </c>
      <c r="J924" s="2" t="s">
        <v>1849</v>
      </c>
      <c r="K924" s="2">
        <v>187.565359</v>
      </c>
      <c r="L924" s="2">
        <v>188.743993749959</v>
      </c>
      <c r="M924" s="2">
        <v>59.998440056619202</v>
      </c>
    </row>
    <row r="925" spans="1:13" x14ac:dyDescent="0.2">
      <c r="A925" s="2" t="s">
        <v>1668</v>
      </c>
      <c r="B925" s="2">
        <v>124</v>
      </c>
      <c r="C925" s="2">
        <v>5</v>
      </c>
      <c r="D925" s="2">
        <v>1</v>
      </c>
      <c r="E925" s="2">
        <v>1</v>
      </c>
      <c r="F925" s="2">
        <v>1.47831808333285</v>
      </c>
      <c r="G925" s="2" t="s">
        <v>508</v>
      </c>
      <c r="H925" s="2" t="s">
        <v>1255</v>
      </c>
      <c r="I925" s="2" t="s">
        <v>16</v>
      </c>
      <c r="J925" s="2" t="s">
        <v>1850</v>
      </c>
      <c r="K925" s="2">
        <v>188.74856116669301</v>
      </c>
      <c r="L925" s="2">
        <v>190.22691095829899</v>
      </c>
      <c r="M925" s="2">
        <v>59.998440056619202</v>
      </c>
    </row>
    <row r="926" spans="1:13" x14ac:dyDescent="0.2">
      <c r="A926" s="2" t="s">
        <v>1668</v>
      </c>
      <c r="B926" s="2">
        <v>125</v>
      </c>
      <c r="C926" s="2">
        <v>10</v>
      </c>
      <c r="D926" s="2">
        <v>1</v>
      </c>
      <c r="E926" s="2">
        <v>1</v>
      </c>
      <c r="F926" s="2">
        <v>1.35831391671673</v>
      </c>
      <c r="G926" s="2" t="s">
        <v>1556</v>
      </c>
      <c r="H926" s="2" t="s">
        <v>1269</v>
      </c>
      <c r="I926" s="2" t="s">
        <v>16</v>
      </c>
      <c r="J926" s="2" t="s">
        <v>1851</v>
      </c>
      <c r="K926" s="2">
        <v>190.23505608330001</v>
      </c>
      <c r="L926" s="2">
        <v>191.593397791614</v>
      </c>
      <c r="M926" s="2">
        <v>59.998440056619202</v>
      </c>
    </row>
    <row r="927" spans="1:13" x14ac:dyDescent="0.2">
      <c r="A927" s="2" t="s">
        <v>1668</v>
      </c>
      <c r="B927" s="2">
        <v>126</v>
      </c>
      <c r="C927" s="2">
        <v>10</v>
      </c>
      <c r="D927" s="2">
        <v>1</v>
      </c>
      <c r="E927" s="2">
        <v>1</v>
      </c>
      <c r="F927" s="2">
        <v>1.60856991657056</v>
      </c>
      <c r="G927" s="2" t="s">
        <v>1000</v>
      </c>
      <c r="H927" s="2" t="s">
        <v>1492</v>
      </c>
      <c r="I927" s="2" t="s">
        <v>16</v>
      </c>
      <c r="J927" s="2" t="s">
        <v>1852</v>
      </c>
      <c r="K927" s="2">
        <v>191.601498249918</v>
      </c>
      <c r="L927" s="2">
        <v>193.210090874927</v>
      </c>
      <c r="M927" s="2">
        <v>59.998440056619202</v>
      </c>
    </row>
    <row r="928" spans="1:13" x14ac:dyDescent="0.2">
      <c r="A928" s="2" t="s">
        <v>1668</v>
      </c>
      <c r="B928" s="2">
        <v>127</v>
      </c>
      <c r="C928" s="2">
        <v>10</v>
      </c>
      <c r="D928" s="2">
        <v>1</v>
      </c>
      <c r="E928" s="2">
        <v>1</v>
      </c>
      <c r="F928" s="2">
        <v>1.3767385416431399</v>
      </c>
      <c r="G928" s="2" t="s">
        <v>43</v>
      </c>
      <c r="H928" s="2" t="s">
        <v>1022</v>
      </c>
      <c r="I928" s="2" t="s">
        <v>16</v>
      </c>
      <c r="J928" s="2" t="s">
        <v>1853</v>
      </c>
      <c r="K928" s="2">
        <v>193.21704512496899</v>
      </c>
      <c r="L928" s="2">
        <v>194.593814916676</v>
      </c>
      <c r="M928" s="2">
        <v>59.998440056619202</v>
      </c>
    </row>
    <row r="929" spans="1:13" x14ac:dyDescent="0.2">
      <c r="A929" s="2" t="s">
        <v>1668</v>
      </c>
      <c r="B929" s="2">
        <v>128</v>
      </c>
      <c r="C929" s="2">
        <v>5</v>
      </c>
      <c r="D929" s="2">
        <v>1</v>
      </c>
      <c r="E929" s="2">
        <v>1</v>
      </c>
      <c r="F929" s="2">
        <v>1.7119525000453</v>
      </c>
      <c r="G929" s="2" t="s">
        <v>150</v>
      </c>
      <c r="H929" s="2" t="s">
        <v>254</v>
      </c>
      <c r="I929" s="2" t="s">
        <v>16</v>
      </c>
      <c r="J929" s="2" t="s">
        <v>1854</v>
      </c>
      <c r="K929" s="2">
        <v>194.59823958331299</v>
      </c>
      <c r="L929" s="2">
        <v>196.31021916668399</v>
      </c>
      <c r="M929" s="2">
        <v>59.998440056619202</v>
      </c>
    </row>
    <row r="930" spans="1:13" x14ac:dyDescent="0.2">
      <c r="A930" s="2" t="s">
        <v>1668</v>
      </c>
      <c r="B930" s="2">
        <v>129</v>
      </c>
      <c r="C930" s="2">
        <v>10</v>
      </c>
      <c r="D930" s="2">
        <v>1</v>
      </c>
      <c r="E930" s="2">
        <v>1</v>
      </c>
      <c r="F930" s="2">
        <v>1.3245512916473701</v>
      </c>
      <c r="G930" s="2" t="s">
        <v>1586</v>
      </c>
      <c r="H930" s="2" t="s">
        <v>916</v>
      </c>
      <c r="I930" s="2" t="s">
        <v>16</v>
      </c>
      <c r="J930" s="2" t="s">
        <v>1855</v>
      </c>
      <c r="K930" s="2">
        <v>196.31873441662199</v>
      </c>
      <c r="L930" s="2">
        <v>197.643316166592</v>
      </c>
      <c r="M930" s="2">
        <v>59.998440056619202</v>
      </c>
    </row>
    <row r="931" spans="1:13" x14ac:dyDescent="0.2">
      <c r="A931" s="2" t="s">
        <v>1668</v>
      </c>
      <c r="B931" s="2">
        <v>130</v>
      </c>
      <c r="C931" s="2">
        <v>10</v>
      </c>
      <c r="D931" s="2">
        <v>1</v>
      </c>
      <c r="E931" s="2">
        <v>1</v>
      </c>
      <c r="F931" s="2">
        <v>1.2600797499762899</v>
      </c>
      <c r="G931" s="2" t="s">
        <v>615</v>
      </c>
      <c r="H931" s="2" t="s">
        <v>913</v>
      </c>
      <c r="I931" s="2" t="s">
        <v>16</v>
      </c>
      <c r="J931" s="2" t="s">
        <v>1856</v>
      </c>
      <c r="K931" s="2">
        <v>197.65084549994199</v>
      </c>
      <c r="L931" s="2">
        <v>198.91098995832701</v>
      </c>
      <c r="M931" s="2">
        <v>59.998440056619202</v>
      </c>
    </row>
    <row r="932" spans="1:13" x14ac:dyDescent="0.2">
      <c r="A932" s="2" t="s">
        <v>1668</v>
      </c>
      <c r="B932" s="2">
        <v>131</v>
      </c>
      <c r="C932" s="2">
        <v>10</v>
      </c>
      <c r="D932" s="2">
        <v>1</v>
      </c>
      <c r="E932" s="2">
        <v>1</v>
      </c>
      <c r="F932" s="2">
        <v>1.5407968333456701</v>
      </c>
      <c r="G932" s="2" t="s">
        <v>1171</v>
      </c>
      <c r="H932" s="2" t="s">
        <v>1431</v>
      </c>
      <c r="I932" s="2" t="s">
        <v>16</v>
      </c>
      <c r="J932" s="2" t="s">
        <v>1857</v>
      </c>
      <c r="K932" s="2">
        <v>198.91933633328901</v>
      </c>
      <c r="L932" s="2">
        <v>200.46016024996101</v>
      </c>
      <c r="M932" s="2">
        <v>59.998440056619202</v>
      </c>
    </row>
    <row r="933" spans="1:13" x14ac:dyDescent="0.2">
      <c r="A933" s="2" t="s">
        <v>1668</v>
      </c>
      <c r="B933" s="2">
        <v>132</v>
      </c>
      <c r="C933" s="2">
        <v>10</v>
      </c>
      <c r="D933" s="2">
        <v>1</v>
      </c>
      <c r="E933" s="2">
        <v>1</v>
      </c>
      <c r="F933" s="2">
        <v>1.54189795826096</v>
      </c>
      <c r="G933" s="2" t="s">
        <v>1574</v>
      </c>
      <c r="H933" s="2" t="s">
        <v>49</v>
      </c>
      <c r="I933" s="2" t="s">
        <v>16</v>
      </c>
      <c r="J933" s="2" t="s">
        <v>1858</v>
      </c>
      <c r="K933" s="2">
        <v>200.46830774994999</v>
      </c>
      <c r="L933" s="2">
        <v>202.01023441657901</v>
      </c>
      <c r="M933" s="2">
        <v>59.998440056619202</v>
      </c>
    </row>
    <row r="934" spans="1:13" x14ac:dyDescent="0.2">
      <c r="A934" s="2" t="s">
        <v>1668</v>
      </c>
      <c r="B934" s="2">
        <v>133</v>
      </c>
      <c r="C934" s="2">
        <v>10</v>
      </c>
      <c r="D934" s="2">
        <v>1</v>
      </c>
      <c r="E934" s="2">
        <v>1</v>
      </c>
      <c r="F934" s="2">
        <v>1.50823241658509</v>
      </c>
      <c r="G934" s="2" t="s">
        <v>164</v>
      </c>
      <c r="H934" s="2" t="s">
        <v>273</v>
      </c>
      <c r="I934" s="2" t="s">
        <v>16</v>
      </c>
      <c r="J934" s="2" t="s">
        <v>1859</v>
      </c>
      <c r="K934" s="2">
        <v>202.01831737498301</v>
      </c>
      <c r="L934" s="2">
        <v>203.52662599994801</v>
      </c>
      <c r="M934" s="2">
        <v>59.998440056619202</v>
      </c>
    </row>
    <row r="935" spans="1:13" x14ac:dyDescent="0.2">
      <c r="A935" s="2" t="s">
        <v>1668</v>
      </c>
      <c r="B935" s="2">
        <v>134</v>
      </c>
      <c r="C935" s="2">
        <v>5</v>
      </c>
      <c r="D935" s="2">
        <v>1</v>
      </c>
      <c r="E935" s="2">
        <v>1</v>
      </c>
      <c r="F935" s="2">
        <v>1.3128178332699501</v>
      </c>
      <c r="G935" s="2" t="s">
        <v>966</v>
      </c>
      <c r="H935" s="2" t="s">
        <v>1463</v>
      </c>
      <c r="I935" s="2" t="s">
        <v>16</v>
      </c>
      <c r="J935" s="2" t="s">
        <v>1860</v>
      </c>
      <c r="K935" s="2">
        <v>203.53142949996999</v>
      </c>
      <c r="L935" s="2">
        <v>204.84430012502699</v>
      </c>
      <c r="M935" s="2">
        <v>59.998440056619202</v>
      </c>
    </row>
    <row r="936" spans="1:13" x14ac:dyDescent="0.2">
      <c r="A936" s="2" t="s">
        <v>1668</v>
      </c>
      <c r="B936" s="2">
        <v>135</v>
      </c>
      <c r="C936" s="2">
        <v>10</v>
      </c>
      <c r="D936" s="2">
        <v>1</v>
      </c>
      <c r="E936" s="2">
        <v>1</v>
      </c>
      <c r="F936" s="2">
        <v>1.5060425832634801</v>
      </c>
      <c r="G936" s="2" t="s">
        <v>1037</v>
      </c>
      <c r="H936" s="2" t="s">
        <v>1328</v>
      </c>
      <c r="I936" s="2" t="s">
        <v>16</v>
      </c>
      <c r="J936" s="2" t="s">
        <v>1861</v>
      </c>
      <c r="K936" s="2">
        <v>204.854060749989</v>
      </c>
      <c r="L936" s="2">
        <v>206.36013658333101</v>
      </c>
      <c r="M936" s="2">
        <v>59.998440056619202</v>
      </c>
    </row>
    <row r="937" spans="1:13" x14ac:dyDescent="0.2">
      <c r="A937" s="2" t="s">
        <v>1668</v>
      </c>
      <c r="B937" s="2">
        <v>136</v>
      </c>
      <c r="C937" s="2">
        <v>10</v>
      </c>
      <c r="D937" s="2">
        <v>1</v>
      </c>
      <c r="E937" s="2">
        <v>1</v>
      </c>
      <c r="F937" s="2">
        <v>1.90719516668469</v>
      </c>
      <c r="G937" s="2" t="s">
        <v>99</v>
      </c>
      <c r="H937" s="2" t="s">
        <v>1541</v>
      </c>
      <c r="I937" s="2" t="s">
        <v>16</v>
      </c>
      <c r="J937" s="2" t="s">
        <v>1862</v>
      </c>
      <c r="K937" s="2">
        <v>206.36955820827299</v>
      </c>
      <c r="L937" s="2">
        <v>208.27679345826601</v>
      </c>
      <c r="M937" s="2">
        <v>59.998440056619202</v>
      </c>
    </row>
    <row r="938" spans="1:13" x14ac:dyDescent="0.2">
      <c r="A938" s="2" t="s">
        <v>1668</v>
      </c>
      <c r="B938" s="2">
        <v>137</v>
      </c>
      <c r="C938" s="2">
        <v>10</v>
      </c>
      <c r="D938" s="2">
        <v>1</v>
      </c>
      <c r="E938" s="2">
        <v>1</v>
      </c>
      <c r="F938" s="2">
        <v>1.22519662498962</v>
      </c>
      <c r="G938" s="2" t="s">
        <v>100</v>
      </c>
      <c r="H938" s="2" t="s">
        <v>747</v>
      </c>
      <c r="I938" s="2" t="s">
        <v>16</v>
      </c>
      <c r="J938" s="2" t="s">
        <v>1863</v>
      </c>
      <c r="K938" s="2">
        <v>208.28501954162499</v>
      </c>
      <c r="L938" s="2">
        <v>209.51025229168599</v>
      </c>
      <c r="M938" s="2">
        <v>59.998440056619202</v>
      </c>
    </row>
    <row r="939" spans="1:13" x14ac:dyDescent="0.2">
      <c r="A939" s="2" t="s">
        <v>1668</v>
      </c>
      <c r="B939" s="2">
        <v>138</v>
      </c>
      <c r="C939" s="2">
        <v>10</v>
      </c>
      <c r="D939" s="2">
        <v>1</v>
      </c>
      <c r="E939" s="2">
        <v>1</v>
      </c>
      <c r="F939" s="2">
        <v>1.3235095833660999</v>
      </c>
      <c r="G939" s="2" t="s">
        <v>906</v>
      </c>
      <c r="H939" s="2" t="s">
        <v>612</v>
      </c>
      <c r="I939" s="2" t="s">
        <v>16</v>
      </c>
      <c r="J939" s="2" t="s">
        <v>1864</v>
      </c>
      <c r="K939" s="2">
        <v>209.519961124985</v>
      </c>
      <c r="L939" s="2">
        <v>210.84349741658701</v>
      </c>
      <c r="M939" s="2">
        <v>59.998440056619202</v>
      </c>
    </row>
    <row r="940" spans="1:13" x14ac:dyDescent="0.2">
      <c r="A940" s="2" t="s">
        <v>1668</v>
      </c>
      <c r="B940" s="2">
        <v>139</v>
      </c>
      <c r="C940" s="2">
        <v>10</v>
      </c>
      <c r="D940" s="2">
        <v>1</v>
      </c>
      <c r="E940" s="2">
        <v>1</v>
      </c>
      <c r="F940" s="2">
        <v>1.2917506666854</v>
      </c>
      <c r="G940" s="2" t="s">
        <v>1299</v>
      </c>
      <c r="H940" s="2" t="s">
        <v>221</v>
      </c>
      <c r="I940" s="2" t="s">
        <v>16</v>
      </c>
      <c r="J940" s="2" t="s">
        <v>1865</v>
      </c>
      <c r="K940" s="2">
        <v>210.85151870828099</v>
      </c>
      <c r="L940" s="2">
        <v>212.14329683326699</v>
      </c>
      <c r="M940" s="2">
        <v>59.998440056619202</v>
      </c>
    </row>
    <row r="941" spans="1:13" x14ac:dyDescent="0.2">
      <c r="A941" s="2" t="s">
        <v>1668</v>
      </c>
      <c r="B941" s="2">
        <v>140</v>
      </c>
      <c r="C941" s="2">
        <v>10</v>
      </c>
      <c r="D941" s="2">
        <v>1</v>
      </c>
      <c r="E941" s="2">
        <v>1</v>
      </c>
      <c r="F941" s="2">
        <v>1.05859258340206</v>
      </c>
      <c r="G941" s="2" t="s">
        <v>1541</v>
      </c>
      <c r="H941" s="2" t="s">
        <v>276</v>
      </c>
      <c r="I941" s="2" t="s">
        <v>16</v>
      </c>
      <c r="J941" s="2" t="s">
        <v>1866</v>
      </c>
      <c r="K941" s="2">
        <v>212.151391124935</v>
      </c>
      <c r="L941" s="2">
        <v>213.21000687498599</v>
      </c>
      <c r="M941" s="2">
        <v>59.998440056619202</v>
      </c>
    </row>
    <row r="942" spans="1:13" x14ac:dyDescent="0.2">
      <c r="A942" s="2" t="s">
        <v>1668</v>
      </c>
      <c r="B942" s="2">
        <v>141</v>
      </c>
      <c r="C942" s="2">
        <v>5</v>
      </c>
      <c r="D942" s="2">
        <v>1</v>
      </c>
      <c r="E942" s="2">
        <v>1</v>
      </c>
      <c r="F942" s="2">
        <v>1.02952316659503</v>
      </c>
      <c r="G942" s="2" t="s">
        <v>747</v>
      </c>
      <c r="H942" s="2" t="s">
        <v>305</v>
      </c>
      <c r="I942" s="2" t="s">
        <v>16</v>
      </c>
      <c r="J942" s="2" t="s">
        <v>1867</v>
      </c>
      <c r="K942" s="2">
        <v>213.213811541675</v>
      </c>
      <c r="L942" s="2">
        <v>214.24335845827599</v>
      </c>
      <c r="M942" s="2">
        <v>59.998440056619202</v>
      </c>
    </row>
    <row r="943" spans="1:13" x14ac:dyDescent="0.2">
      <c r="A943" s="2" t="s">
        <v>1668</v>
      </c>
      <c r="B943" s="2">
        <v>142</v>
      </c>
      <c r="C943" s="2">
        <v>5</v>
      </c>
      <c r="D943" s="2">
        <v>1</v>
      </c>
      <c r="E943" s="2">
        <v>1</v>
      </c>
      <c r="F943" s="2">
        <v>1.1793941666837799</v>
      </c>
      <c r="G943" s="2" t="s">
        <v>1087</v>
      </c>
      <c r="H943" s="2" t="s">
        <v>105</v>
      </c>
      <c r="I943" s="2" t="s">
        <v>16</v>
      </c>
      <c r="J943" s="2" t="s">
        <v>1868</v>
      </c>
      <c r="K943" s="2">
        <v>214.24722554162099</v>
      </c>
      <c r="L943" s="2">
        <v>215.42664899991399</v>
      </c>
      <c r="M943" s="2">
        <v>59.998440056619202</v>
      </c>
    </row>
    <row r="944" spans="1:13" x14ac:dyDescent="0.2">
      <c r="A944" s="2" t="s">
        <v>1668</v>
      </c>
      <c r="B944" s="2">
        <v>143</v>
      </c>
      <c r="C944" s="2">
        <v>5</v>
      </c>
      <c r="D944" s="2">
        <v>1</v>
      </c>
      <c r="E944" s="2">
        <v>1</v>
      </c>
      <c r="F944" s="2">
        <v>1.4623115416616199</v>
      </c>
      <c r="G944" s="2" t="s">
        <v>1617</v>
      </c>
      <c r="H944" s="2" t="s">
        <v>423</v>
      </c>
      <c r="I944" s="2" t="s">
        <v>16</v>
      </c>
      <c r="J944" s="2" t="s">
        <v>1869</v>
      </c>
      <c r="K944" s="2">
        <v>215.43104662501699</v>
      </c>
      <c r="L944" s="2">
        <v>216.89338391658401</v>
      </c>
      <c r="M944" s="2">
        <v>59.998440056619202</v>
      </c>
    </row>
    <row r="945" spans="1:13" x14ac:dyDescent="0.2">
      <c r="A945" s="2" t="s">
        <v>1668</v>
      </c>
      <c r="B945" s="2">
        <v>144</v>
      </c>
      <c r="C945" s="2">
        <v>5</v>
      </c>
      <c r="D945" s="2">
        <v>1</v>
      </c>
      <c r="E945" s="2">
        <v>1</v>
      </c>
      <c r="F945" s="2">
        <v>1.5120134166209001</v>
      </c>
      <c r="G945" s="2" t="s">
        <v>1870</v>
      </c>
      <c r="H945" s="2" t="s">
        <v>169</v>
      </c>
      <c r="I945" s="2" t="s">
        <v>16</v>
      </c>
      <c r="J945" s="2" t="s">
        <v>1871</v>
      </c>
      <c r="K945" s="2">
        <v>216.89770579163499</v>
      </c>
      <c r="L945" s="2">
        <v>218.40976808324899</v>
      </c>
      <c r="M945" s="2">
        <v>59.998440056619202</v>
      </c>
    </row>
    <row r="946" spans="1:13" x14ac:dyDescent="0.2">
      <c r="A946" s="2" t="s">
        <v>1668</v>
      </c>
      <c r="B946" s="2">
        <v>145</v>
      </c>
      <c r="C946" s="2">
        <v>5</v>
      </c>
      <c r="D946" s="2">
        <v>1</v>
      </c>
      <c r="E946" s="2">
        <v>1</v>
      </c>
      <c r="F946" s="2">
        <v>1.6468892083503299</v>
      </c>
      <c r="G946" s="2" t="s">
        <v>401</v>
      </c>
      <c r="H946" s="2" t="s">
        <v>409</v>
      </c>
      <c r="I946" s="2" t="s">
        <v>16</v>
      </c>
      <c r="J946" s="2" t="s">
        <v>1872</v>
      </c>
      <c r="K946" s="2">
        <v>218.413822083268</v>
      </c>
      <c r="L946" s="2">
        <v>220.06075945834201</v>
      </c>
      <c r="M946" s="2">
        <v>59.998440056619202</v>
      </c>
    </row>
    <row r="947" spans="1:13" x14ac:dyDescent="0.2">
      <c r="A947" s="2" t="s">
        <v>1668</v>
      </c>
      <c r="B947" s="2">
        <v>146</v>
      </c>
      <c r="C947" s="2">
        <v>5</v>
      </c>
      <c r="D947" s="2">
        <v>1</v>
      </c>
      <c r="E947" s="2">
        <v>1</v>
      </c>
      <c r="F947" s="2">
        <v>1.7438293750164999</v>
      </c>
      <c r="G947" s="2" t="s">
        <v>881</v>
      </c>
      <c r="H947" s="2" t="s">
        <v>972</v>
      </c>
      <c r="I947" s="2" t="s">
        <v>16</v>
      </c>
      <c r="J947" s="2" t="s">
        <v>1873</v>
      </c>
      <c r="K947" s="2">
        <v>220.06613933329899</v>
      </c>
      <c r="L947" s="2">
        <v>221.81001799996</v>
      </c>
      <c r="M947" s="2">
        <v>59.998440056619202</v>
      </c>
    </row>
    <row r="948" spans="1:13" x14ac:dyDescent="0.2">
      <c r="A948" s="2" t="s">
        <v>1668</v>
      </c>
      <c r="B948" s="2">
        <v>147</v>
      </c>
      <c r="C948" s="2">
        <v>10</v>
      </c>
      <c r="D948" s="2">
        <v>1</v>
      </c>
      <c r="E948" s="2">
        <v>1</v>
      </c>
      <c r="F948" s="2">
        <v>1.1589077499229501</v>
      </c>
      <c r="G948" s="2" t="s">
        <v>1194</v>
      </c>
      <c r="H948" s="2" t="s">
        <v>1062</v>
      </c>
      <c r="I948" s="2" t="s">
        <v>16</v>
      </c>
      <c r="J948" s="2" t="s">
        <v>1874</v>
      </c>
      <c r="K948" s="2">
        <v>221.818145375</v>
      </c>
      <c r="L948" s="2">
        <v>222.97707462497101</v>
      </c>
      <c r="M948" s="2">
        <v>59.998440056619202</v>
      </c>
    </row>
    <row r="949" spans="1:13" x14ac:dyDescent="0.2">
      <c r="A949" s="2" t="s">
        <v>1668</v>
      </c>
      <c r="B949" s="2">
        <v>148</v>
      </c>
      <c r="C949" s="2">
        <v>5</v>
      </c>
      <c r="D949" s="2">
        <v>1</v>
      </c>
      <c r="E949" s="2">
        <v>1</v>
      </c>
      <c r="F949" s="2">
        <v>1.2960784166352799</v>
      </c>
      <c r="G949" s="2" t="s">
        <v>1296</v>
      </c>
      <c r="H949" s="2" t="s">
        <v>1811</v>
      </c>
      <c r="I949" s="2" t="s">
        <v>16</v>
      </c>
      <c r="J949" s="2" t="s">
        <v>1875</v>
      </c>
      <c r="K949" s="2">
        <v>222.9810320416</v>
      </c>
      <c r="L949" s="2">
        <v>224.277140833321</v>
      </c>
      <c r="M949" s="2">
        <v>59.998440056619202</v>
      </c>
    </row>
    <row r="950" spans="1:13" x14ac:dyDescent="0.2">
      <c r="A950" s="2" t="s">
        <v>1668</v>
      </c>
      <c r="B950" s="2">
        <v>149</v>
      </c>
      <c r="C950" s="2">
        <v>5</v>
      </c>
      <c r="D950" s="2">
        <v>1</v>
      </c>
      <c r="E950" s="2">
        <v>1</v>
      </c>
      <c r="F950" s="2">
        <v>1.2123513333499401</v>
      </c>
      <c r="G950" s="2" t="s">
        <v>816</v>
      </c>
      <c r="H950" s="2" t="s">
        <v>156</v>
      </c>
      <c r="I950" s="2" t="s">
        <v>16</v>
      </c>
      <c r="J950" s="2" t="s">
        <v>1876</v>
      </c>
      <c r="K950" s="2">
        <v>224.28072420833601</v>
      </c>
      <c r="L950" s="2">
        <v>225.49311808333701</v>
      </c>
      <c r="M950" s="2">
        <v>59.998440056619202</v>
      </c>
    </row>
    <row r="951" spans="1:13" x14ac:dyDescent="0.2">
      <c r="A951" s="2" t="s">
        <v>1668</v>
      </c>
      <c r="B951" s="2">
        <v>150</v>
      </c>
      <c r="C951" s="2">
        <v>5</v>
      </c>
      <c r="D951" s="2">
        <v>2</v>
      </c>
      <c r="E951" s="2">
        <v>0</v>
      </c>
      <c r="F951" s="2">
        <v>2.3125102083431601</v>
      </c>
      <c r="G951" s="2" t="s">
        <v>1877</v>
      </c>
      <c r="H951" s="2" t="s">
        <v>1878</v>
      </c>
      <c r="I951" s="2" t="s">
        <v>23</v>
      </c>
      <c r="J951" s="2" t="s">
        <v>1879</v>
      </c>
      <c r="K951" s="2">
        <v>225.49729633331299</v>
      </c>
      <c r="L951" s="2">
        <v>227.809835999971</v>
      </c>
      <c r="M951" s="2">
        <v>59.998440056619202</v>
      </c>
    </row>
    <row r="952" spans="1:13" x14ac:dyDescent="0.2">
      <c r="A952" s="2" t="s">
        <v>1668</v>
      </c>
      <c r="B952" s="2">
        <v>151</v>
      </c>
      <c r="C952" s="2">
        <v>10</v>
      </c>
      <c r="D952" s="2">
        <v>1</v>
      </c>
      <c r="E952" s="2">
        <v>1</v>
      </c>
      <c r="F952" s="2">
        <v>2.0755031249718701</v>
      </c>
      <c r="G952" s="2" t="s">
        <v>488</v>
      </c>
      <c r="H952" s="2" t="s">
        <v>483</v>
      </c>
      <c r="I952" s="2" t="s">
        <v>16</v>
      </c>
      <c r="J952" s="2" t="s">
        <v>1880</v>
      </c>
      <c r="K952" s="2">
        <v>227.81799299991701</v>
      </c>
      <c r="L952" s="2">
        <v>229.893543666694</v>
      </c>
      <c r="M952" s="2">
        <v>59.998440056619202</v>
      </c>
    </row>
    <row r="953" spans="1:13" x14ac:dyDescent="0.2">
      <c r="A953" s="2" t="s">
        <v>1668</v>
      </c>
      <c r="B953" s="2">
        <v>152</v>
      </c>
      <c r="C953" s="2">
        <v>5</v>
      </c>
      <c r="D953" s="2">
        <v>1</v>
      </c>
      <c r="E953" s="2">
        <v>1</v>
      </c>
      <c r="F953" s="2">
        <v>1.2436811665538701</v>
      </c>
      <c r="G953" s="2" t="s">
        <v>866</v>
      </c>
      <c r="H953" s="2" t="s">
        <v>904</v>
      </c>
      <c r="I953" s="2" t="s">
        <v>16</v>
      </c>
      <c r="J953" s="2" t="s">
        <v>1881</v>
      </c>
      <c r="K953" s="2">
        <v>229.90039600001199</v>
      </c>
      <c r="L953" s="2">
        <v>231.14411295834</v>
      </c>
      <c r="M953" s="2">
        <v>59.998440056619202</v>
      </c>
    </row>
    <row r="954" spans="1:13" x14ac:dyDescent="0.2">
      <c r="A954" s="2" t="s">
        <v>1668</v>
      </c>
      <c r="B954" s="2">
        <v>153</v>
      </c>
      <c r="C954" s="2">
        <v>10</v>
      </c>
      <c r="D954" s="2">
        <v>1</v>
      </c>
      <c r="E954" s="2">
        <v>1</v>
      </c>
      <c r="F954" s="2">
        <v>1.75533174991142</v>
      </c>
      <c r="G954" s="2" t="s">
        <v>361</v>
      </c>
      <c r="H954" s="2" t="s">
        <v>603</v>
      </c>
      <c r="I954" s="2" t="s">
        <v>16</v>
      </c>
      <c r="J954" s="2" t="s">
        <v>1882</v>
      </c>
      <c r="K954" s="2">
        <v>231.15445966669401</v>
      </c>
      <c r="L954" s="2">
        <v>232.90981945826201</v>
      </c>
      <c r="M954" s="2">
        <v>59.998440056619202</v>
      </c>
    </row>
    <row r="955" spans="1:13" x14ac:dyDescent="0.2">
      <c r="A955" s="2" t="s">
        <v>1668</v>
      </c>
      <c r="B955" s="2">
        <v>154</v>
      </c>
      <c r="C955" s="2">
        <v>5</v>
      </c>
      <c r="D955" s="2">
        <v>1</v>
      </c>
      <c r="E955" s="2">
        <v>1</v>
      </c>
      <c r="F955" s="2">
        <v>1.0119305000407599</v>
      </c>
      <c r="G955" s="2" t="s">
        <v>465</v>
      </c>
      <c r="H955" s="2" t="s">
        <v>583</v>
      </c>
      <c r="I955" s="2" t="s">
        <v>16</v>
      </c>
      <c r="J955" s="2" t="s">
        <v>1883</v>
      </c>
      <c r="K955" s="2">
        <v>232.91470870829701</v>
      </c>
      <c r="L955" s="2">
        <v>233.92666358326099</v>
      </c>
      <c r="M955" s="2">
        <v>59.998440056619202</v>
      </c>
    </row>
    <row r="956" spans="1:13" x14ac:dyDescent="0.2">
      <c r="A956" s="2" t="s">
        <v>1668</v>
      </c>
      <c r="B956" s="2">
        <v>155</v>
      </c>
      <c r="C956" s="2">
        <v>5</v>
      </c>
      <c r="D956" s="2">
        <v>1</v>
      </c>
      <c r="E956" s="2">
        <v>1</v>
      </c>
      <c r="F956" s="2">
        <v>1.4125450417632199</v>
      </c>
      <c r="G956" s="2" t="s">
        <v>1397</v>
      </c>
      <c r="H956" s="2" t="s">
        <v>1586</v>
      </c>
      <c r="I956" s="2" t="s">
        <v>16</v>
      </c>
      <c r="J956" s="2" t="s">
        <v>1884</v>
      </c>
      <c r="K956" s="2">
        <v>233.930576374987</v>
      </c>
      <c r="L956" s="2">
        <v>235.34314604161801</v>
      </c>
      <c r="M956" s="2">
        <v>59.998440056619202</v>
      </c>
    </row>
    <row r="957" spans="1:13" x14ac:dyDescent="0.2">
      <c r="A957" s="2" t="s">
        <v>1668</v>
      </c>
      <c r="B957" s="2">
        <v>156</v>
      </c>
      <c r="C957" s="2">
        <v>10</v>
      </c>
      <c r="D957" s="2">
        <v>1</v>
      </c>
      <c r="E957" s="2">
        <v>1</v>
      </c>
      <c r="F957" s="2">
        <v>1.5931005000602501</v>
      </c>
      <c r="G957" s="2" t="s">
        <v>478</v>
      </c>
      <c r="H957" s="2" t="s">
        <v>975</v>
      </c>
      <c r="I957" s="2" t="s">
        <v>16</v>
      </c>
      <c r="J957" s="2" t="s">
        <v>1885</v>
      </c>
      <c r="K957" s="2">
        <v>235.35017745825499</v>
      </c>
      <c r="L957" s="2">
        <v>236.94332291663201</v>
      </c>
      <c r="M957" s="2">
        <v>59.998440056619202</v>
      </c>
    </row>
    <row r="958" spans="1:13" x14ac:dyDescent="0.2">
      <c r="A958" s="2" t="s">
        <v>1668</v>
      </c>
      <c r="B958" s="2">
        <v>157</v>
      </c>
      <c r="C958" s="2">
        <v>10</v>
      </c>
      <c r="D958" s="2">
        <v>1</v>
      </c>
      <c r="E958" s="2">
        <v>1</v>
      </c>
      <c r="F958" s="2">
        <v>1.9092114167287999</v>
      </c>
      <c r="G958" s="2" t="s">
        <v>111</v>
      </c>
      <c r="H958" s="2" t="s">
        <v>1246</v>
      </c>
      <c r="I958" s="2" t="s">
        <v>16</v>
      </c>
      <c r="J958" s="2" t="s">
        <v>1886</v>
      </c>
      <c r="K958" s="2">
        <v>236.95151362498299</v>
      </c>
      <c r="L958" s="2">
        <v>238.860763208359</v>
      </c>
      <c r="M958" s="2">
        <v>59.998440056619202</v>
      </c>
    </row>
    <row r="959" spans="1:13" x14ac:dyDescent="0.2">
      <c r="A959" s="2" t="s">
        <v>1668</v>
      </c>
      <c r="B959" s="2">
        <v>158</v>
      </c>
      <c r="C959" s="2">
        <v>5</v>
      </c>
      <c r="D959" s="2">
        <v>1</v>
      </c>
      <c r="E959" s="2">
        <v>1</v>
      </c>
      <c r="F959" s="2">
        <v>1.0447185833472801</v>
      </c>
      <c r="G959" s="2" t="s">
        <v>337</v>
      </c>
      <c r="H959" s="2" t="s">
        <v>166</v>
      </c>
      <c r="I959" s="2" t="s">
        <v>16</v>
      </c>
      <c r="J959" s="2" t="s">
        <v>1887</v>
      </c>
      <c r="K959" s="2">
        <v>238.86528433335499</v>
      </c>
      <c r="L959" s="2">
        <v>239.910029791645</v>
      </c>
      <c r="M959" s="2">
        <v>59.998440056619202</v>
      </c>
    </row>
    <row r="960" spans="1:13" x14ac:dyDescent="0.2">
      <c r="A960" s="2" t="s">
        <v>1668</v>
      </c>
      <c r="B960" s="2">
        <v>159</v>
      </c>
      <c r="C960" s="2">
        <v>5</v>
      </c>
      <c r="D960" s="2">
        <v>1</v>
      </c>
      <c r="E960" s="2">
        <v>1</v>
      </c>
      <c r="F960" s="2">
        <v>2.0459982082247699</v>
      </c>
      <c r="G960" s="2" t="s">
        <v>640</v>
      </c>
      <c r="H960" s="2" t="s">
        <v>1888</v>
      </c>
      <c r="I960" s="2" t="s">
        <v>16</v>
      </c>
      <c r="J960" s="2" t="s">
        <v>1889</v>
      </c>
      <c r="K960" s="2">
        <v>239.91446929168899</v>
      </c>
      <c r="L960" s="2">
        <v>241.96051712497101</v>
      </c>
      <c r="M960" s="2">
        <v>59.998440056619202</v>
      </c>
    </row>
    <row r="961" spans="1:13" x14ac:dyDescent="0.2">
      <c r="A961" s="2" t="s">
        <v>1668</v>
      </c>
      <c r="B961" s="2">
        <v>160</v>
      </c>
      <c r="C961" s="2">
        <v>5</v>
      </c>
      <c r="D961" s="2">
        <v>1</v>
      </c>
      <c r="E961" s="2">
        <v>1</v>
      </c>
      <c r="F961" s="2">
        <v>1.9940583332208901</v>
      </c>
      <c r="G961" s="2" t="s">
        <v>456</v>
      </c>
      <c r="H961" s="2" t="s">
        <v>1194</v>
      </c>
      <c r="I961" s="2" t="s">
        <v>16</v>
      </c>
      <c r="J961" s="2" t="s">
        <v>1890</v>
      </c>
      <c r="K961" s="2">
        <v>241.96588812500701</v>
      </c>
      <c r="L961" s="2">
        <v>243.95997029158801</v>
      </c>
      <c r="M961" s="2">
        <v>59.998440056619202</v>
      </c>
    </row>
    <row r="962" spans="1:13" x14ac:dyDescent="0.2">
      <c r="A962" s="2" t="s">
        <v>1668</v>
      </c>
      <c r="B962" s="2">
        <v>161</v>
      </c>
      <c r="C962" s="2">
        <v>5</v>
      </c>
      <c r="D962" s="2">
        <v>1</v>
      </c>
      <c r="E962" s="2">
        <v>1</v>
      </c>
      <c r="F962" s="2">
        <v>1.2786767916986701</v>
      </c>
      <c r="G962" s="2" t="s">
        <v>648</v>
      </c>
      <c r="H962" s="2" t="s">
        <v>1891</v>
      </c>
      <c r="I962" s="2" t="s">
        <v>16</v>
      </c>
      <c r="J962" s="2" t="s">
        <v>1892</v>
      </c>
      <c r="K962" s="2">
        <v>243.96438337501601</v>
      </c>
      <c r="L962" s="2">
        <v>245.24311966658601</v>
      </c>
      <c r="M962" s="2">
        <v>59.998440056619202</v>
      </c>
    </row>
    <row r="963" spans="1:13" x14ac:dyDescent="0.2">
      <c r="A963" s="2" t="s">
        <v>1668</v>
      </c>
      <c r="B963" s="2">
        <v>162</v>
      </c>
      <c r="C963" s="2">
        <v>10</v>
      </c>
      <c r="D963" s="2">
        <v>1</v>
      </c>
      <c r="E963" s="2">
        <v>1</v>
      </c>
      <c r="F963" s="2">
        <v>1.2755762500455601</v>
      </c>
      <c r="G963" s="2" t="s">
        <v>1893</v>
      </c>
      <c r="H963" s="2" t="s">
        <v>545</v>
      </c>
      <c r="I963" s="2" t="s">
        <v>16</v>
      </c>
      <c r="J963" s="2" t="s">
        <v>1894</v>
      </c>
      <c r="K963" s="2">
        <v>245.25094470835799</v>
      </c>
      <c r="L963" s="2">
        <v>246.52654749993201</v>
      </c>
      <c r="M963" s="2">
        <v>59.998440056619202</v>
      </c>
    </row>
    <row r="964" spans="1:13" x14ac:dyDescent="0.2">
      <c r="A964" s="2" t="s">
        <v>1668</v>
      </c>
      <c r="B964" s="2">
        <v>163</v>
      </c>
      <c r="C964" s="2">
        <v>5</v>
      </c>
      <c r="D964" s="2">
        <v>1</v>
      </c>
      <c r="E964" s="2">
        <v>1</v>
      </c>
      <c r="F964" s="2">
        <v>2.1129584166919799</v>
      </c>
      <c r="G964" s="2" t="s">
        <v>1895</v>
      </c>
      <c r="H964" s="2" t="s">
        <v>844</v>
      </c>
      <c r="I964" s="2" t="s">
        <v>16</v>
      </c>
      <c r="J964" s="2" t="s">
        <v>1896</v>
      </c>
      <c r="K964" s="2">
        <v>246.53046795830599</v>
      </c>
      <c r="L964" s="2">
        <v>248.643455708283</v>
      </c>
      <c r="M964" s="2">
        <v>59.998440056619202</v>
      </c>
    </row>
    <row r="965" spans="1:13" x14ac:dyDescent="0.2">
      <c r="A965" s="2" t="s">
        <v>1668</v>
      </c>
      <c r="B965" s="2">
        <v>164</v>
      </c>
      <c r="C965" s="2">
        <v>5</v>
      </c>
      <c r="D965" s="2">
        <v>1</v>
      </c>
      <c r="E965" s="2">
        <v>1</v>
      </c>
      <c r="F965" s="2">
        <v>1.5785449167015</v>
      </c>
      <c r="G965" s="2" t="s">
        <v>170</v>
      </c>
      <c r="H965" s="2" t="s">
        <v>783</v>
      </c>
      <c r="I965" s="2" t="s">
        <v>16</v>
      </c>
      <c r="J965" s="2" t="s">
        <v>1897</v>
      </c>
      <c r="K965" s="2">
        <v>248.647855499992</v>
      </c>
      <c r="L965" s="2">
        <v>250.22642441664399</v>
      </c>
      <c r="M965" s="2">
        <v>59.998440056619202</v>
      </c>
    </row>
    <row r="966" spans="1:13" x14ac:dyDescent="0.2">
      <c r="A966" s="2" t="s">
        <v>1668</v>
      </c>
      <c r="B966" s="2">
        <v>165</v>
      </c>
      <c r="C966" s="2">
        <v>10</v>
      </c>
      <c r="D966" s="2">
        <v>1</v>
      </c>
      <c r="E966" s="2">
        <v>1</v>
      </c>
      <c r="F966" s="2">
        <v>1.4435963333817201</v>
      </c>
      <c r="G966" s="2" t="s">
        <v>1898</v>
      </c>
      <c r="H966" s="2" t="s">
        <v>213</v>
      </c>
      <c r="I966" s="2" t="s">
        <v>16</v>
      </c>
      <c r="J966" s="2" t="s">
        <v>1899</v>
      </c>
      <c r="K966" s="2">
        <v>250.233537583263</v>
      </c>
      <c r="L966" s="2">
        <v>251.67718408326601</v>
      </c>
      <c r="M966" s="2">
        <v>59.998440056619202</v>
      </c>
    </row>
    <row r="967" spans="1:13" x14ac:dyDescent="0.2">
      <c r="A967" s="2" t="s">
        <v>1668</v>
      </c>
      <c r="B967" s="2">
        <v>166</v>
      </c>
      <c r="C967" s="2">
        <v>10</v>
      </c>
      <c r="D967" s="2">
        <v>1</v>
      </c>
      <c r="E967" s="2">
        <v>1</v>
      </c>
      <c r="F967" s="2">
        <v>1.1897741249995299</v>
      </c>
      <c r="G967" s="2" t="s">
        <v>1900</v>
      </c>
      <c r="H967" s="2" t="s">
        <v>468</v>
      </c>
      <c r="I967" s="2" t="s">
        <v>16</v>
      </c>
      <c r="J967" s="2" t="s">
        <v>1901</v>
      </c>
      <c r="K967" s="2">
        <v>251.68685362499701</v>
      </c>
      <c r="L967" s="2">
        <v>252.876653374988</v>
      </c>
      <c r="M967" s="2">
        <v>59.998440056619202</v>
      </c>
    </row>
    <row r="968" spans="1:13" x14ac:dyDescent="0.2">
      <c r="A968" s="2" t="s">
        <v>1668</v>
      </c>
      <c r="B968" s="2">
        <v>167</v>
      </c>
      <c r="C968" s="2">
        <v>10</v>
      </c>
      <c r="D968" s="2">
        <v>1</v>
      </c>
      <c r="E968" s="2">
        <v>1</v>
      </c>
      <c r="F968" s="2">
        <v>1.4418211249867501</v>
      </c>
      <c r="G968" s="2" t="s">
        <v>182</v>
      </c>
      <c r="H968" s="2" t="s">
        <v>822</v>
      </c>
      <c r="I968" s="2" t="s">
        <v>16</v>
      </c>
      <c r="J968" s="2" t="s">
        <v>1902</v>
      </c>
      <c r="K968" s="2">
        <v>252.88471679168299</v>
      </c>
      <c r="L968" s="2">
        <v>254.32656199997299</v>
      </c>
      <c r="M968" s="2">
        <v>59.998440056619202</v>
      </c>
    </row>
    <row r="969" spans="1:13" x14ac:dyDescent="0.2">
      <c r="A969" s="2" t="s">
        <v>1668</v>
      </c>
      <c r="B969" s="2">
        <v>168</v>
      </c>
      <c r="C969" s="2">
        <v>5</v>
      </c>
      <c r="D969" s="2">
        <v>1</v>
      </c>
      <c r="E969" s="2">
        <v>1</v>
      </c>
      <c r="F969" s="2">
        <v>1.4126263749785699</v>
      </c>
      <c r="G969" s="2" t="s">
        <v>186</v>
      </c>
      <c r="H969" s="2" t="s">
        <v>1903</v>
      </c>
      <c r="I969" s="2" t="s">
        <v>16</v>
      </c>
      <c r="J969" s="2" t="s">
        <v>1904</v>
      </c>
      <c r="K969" s="2">
        <v>254.33039658330401</v>
      </c>
      <c r="L969" s="2">
        <v>255.743063791655</v>
      </c>
      <c r="M969" s="2">
        <v>59.998440056619202</v>
      </c>
    </row>
    <row r="970" spans="1:13" x14ac:dyDescent="0.2">
      <c r="A970" s="2" t="s">
        <v>1668</v>
      </c>
      <c r="B970" s="2">
        <v>169</v>
      </c>
      <c r="C970" s="2">
        <v>5</v>
      </c>
      <c r="D970" s="2">
        <v>1</v>
      </c>
      <c r="E970" s="2">
        <v>1</v>
      </c>
      <c r="F970" s="2">
        <v>1.34668579162099</v>
      </c>
      <c r="G970" s="2" t="s">
        <v>647</v>
      </c>
      <c r="H970" s="2" t="s">
        <v>440</v>
      </c>
      <c r="I970" s="2" t="s">
        <v>16</v>
      </c>
      <c r="J970" s="2" t="s">
        <v>1905</v>
      </c>
      <c r="K970" s="2">
        <v>255.74684066662999</v>
      </c>
      <c r="L970" s="2">
        <v>257.09356874995899</v>
      </c>
      <c r="M970" s="2">
        <v>59.998440056619202</v>
      </c>
    </row>
    <row r="971" spans="1:13" x14ac:dyDescent="0.2">
      <c r="A971" s="2" t="s">
        <v>1668</v>
      </c>
      <c r="B971" s="2">
        <v>170</v>
      </c>
      <c r="C971" s="2">
        <v>5</v>
      </c>
      <c r="D971" s="2">
        <v>1</v>
      </c>
      <c r="E971" s="2">
        <v>1</v>
      </c>
      <c r="F971" s="2">
        <v>1.21169554162771</v>
      </c>
      <c r="G971" s="2" t="s">
        <v>1731</v>
      </c>
      <c r="H971" s="2" t="s">
        <v>126</v>
      </c>
      <c r="I971" s="2" t="s">
        <v>16</v>
      </c>
      <c r="J971" s="2" t="s">
        <v>1906</v>
      </c>
      <c r="K971" s="2">
        <v>257.09816387493601</v>
      </c>
      <c r="L971" s="2">
        <v>258.30988612491598</v>
      </c>
      <c r="M971" s="2">
        <v>59.998440056619202</v>
      </c>
    </row>
    <row r="972" spans="1:13" x14ac:dyDescent="0.2">
      <c r="A972" s="2" t="s">
        <v>1668</v>
      </c>
      <c r="B972" s="2">
        <v>171</v>
      </c>
      <c r="C972" s="2">
        <v>5</v>
      </c>
      <c r="D972" s="2">
        <v>1</v>
      </c>
      <c r="E972" s="2">
        <v>1</v>
      </c>
      <c r="F972" s="2">
        <v>1.2788124167127499</v>
      </c>
      <c r="G972" s="2" t="s">
        <v>913</v>
      </c>
      <c r="H972" s="2" t="s">
        <v>1394</v>
      </c>
      <c r="I972" s="2" t="s">
        <v>16</v>
      </c>
      <c r="J972" s="2" t="s">
        <v>1907</v>
      </c>
      <c r="K972" s="2">
        <v>258.31421741668601</v>
      </c>
      <c r="L972" s="2">
        <v>259.59308137500199</v>
      </c>
      <c r="M972" s="2">
        <v>59.998440056619202</v>
      </c>
    </row>
    <row r="973" spans="1:13" x14ac:dyDescent="0.2">
      <c r="A973" s="2" t="s">
        <v>1668</v>
      </c>
      <c r="B973" s="2">
        <v>172</v>
      </c>
      <c r="C973" s="2">
        <v>5</v>
      </c>
      <c r="D973" s="2">
        <v>1</v>
      </c>
      <c r="E973" s="2">
        <v>1</v>
      </c>
      <c r="F973" s="2">
        <v>1.3465493333060301</v>
      </c>
      <c r="G973" s="2" t="s">
        <v>1908</v>
      </c>
      <c r="H973" s="2" t="s">
        <v>355</v>
      </c>
      <c r="I973" s="2" t="s">
        <v>16</v>
      </c>
      <c r="J973" s="2" t="s">
        <v>1909</v>
      </c>
      <c r="K973" s="2">
        <v>259.59700529160898</v>
      </c>
      <c r="L973" s="2">
        <v>260.94360358326202</v>
      </c>
      <c r="M973" s="2">
        <v>59.998440056619202</v>
      </c>
    </row>
    <row r="974" spans="1:13" x14ac:dyDescent="0.2">
      <c r="A974" s="2" t="s">
        <v>1668</v>
      </c>
      <c r="B974" s="2">
        <v>173</v>
      </c>
      <c r="C974" s="2">
        <v>5</v>
      </c>
      <c r="D974" s="2">
        <v>1</v>
      </c>
      <c r="E974" s="2">
        <v>1</v>
      </c>
      <c r="F974" s="2">
        <v>1.54409862495959</v>
      </c>
      <c r="G974" s="2" t="s">
        <v>58</v>
      </c>
      <c r="H974" s="2" t="s">
        <v>25</v>
      </c>
      <c r="I974" s="2" t="s">
        <v>16</v>
      </c>
      <c r="J974" s="2" t="s">
        <v>1910</v>
      </c>
      <c r="K974" s="2">
        <v>260.94895729166501</v>
      </c>
      <c r="L974" s="2">
        <v>262.49309408327099</v>
      </c>
      <c r="M974" s="2">
        <v>59.998440056619202</v>
      </c>
    </row>
    <row r="975" spans="1:13" x14ac:dyDescent="0.2">
      <c r="A975" s="2" t="s">
        <v>1668</v>
      </c>
      <c r="B975" s="2">
        <v>174</v>
      </c>
      <c r="C975" s="2">
        <v>5</v>
      </c>
      <c r="D975" s="2">
        <v>1</v>
      </c>
      <c r="E975" s="2">
        <v>1</v>
      </c>
      <c r="F975" s="2">
        <v>1.0954812500858699</v>
      </c>
      <c r="G975" s="2" t="s">
        <v>1234</v>
      </c>
      <c r="H975" s="2" t="s">
        <v>431</v>
      </c>
      <c r="I975" s="2" t="s">
        <v>16</v>
      </c>
      <c r="J975" s="2" t="s">
        <v>1911</v>
      </c>
      <c r="K975" s="2">
        <v>262.49755774997197</v>
      </c>
      <c r="L975" s="2">
        <v>263.59308679168998</v>
      </c>
      <c r="M975" s="2">
        <v>59.998440056619202</v>
      </c>
    </row>
    <row r="976" spans="1:13" x14ac:dyDescent="0.2">
      <c r="A976" s="2" t="s">
        <v>1668</v>
      </c>
      <c r="B976" s="2">
        <v>175</v>
      </c>
      <c r="C976" s="2">
        <v>5</v>
      </c>
      <c r="D976" s="2">
        <v>1</v>
      </c>
      <c r="E976" s="2">
        <v>1</v>
      </c>
      <c r="F976" s="2">
        <v>1.01217108336277</v>
      </c>
      <c r="G976" s="2" t="s">
        <v>563</v>
      </c>
      <c r="H976" s="2" t="s">
        <v>921</v>
      </c>
      <c r="I976" s="2" t="s">
        <v>16</v>
      </c>
      <c r="J976" s="2" t="s">
        <v>1912</v>
      </c>
      <c r="K976" s="2">
        <v>263.59754741669201</v>
      </c>
      <c r="L976" s="2">
        <v>264.60974037495902</v>
      </c>
      <c r="M976" s="2">
        <v>59.998440056619202</v>
      </c>
    </row>
    <row r="977" spans="1:13" x14ac:dyDescent="0.2">
      <c r="A977" s="2" t="s">
        <v>1668</v>
      </c>
      <c r="B977" s="2">
        <v>176</v>
      </c>
      <c r="C977" s="2">
        <v>5</v>
      </c>
      <c r="D977" s="2">
        <v>1</v>
      </c>
      <c r="E977" s="2">
        <v>1</v>
      </c>
      <c r="F977" s="2">
        <v>1.12938566657249</v>
      </c>
      <c r="G977" s="2" t="s">
        <v>1317</v>
      </c>
      <c r="H977" s="2" t="s">
        <v>1913</v>
      </c>
      <c r="I977" s="2" t="s">
        <v>16</v>
      </c>
      <c r="J977" s="2" t="s">
        <v>1914</v>
      </c>
      <c r="K977" s="2">
        <v>264.61350612493698</v>
      </c>
      <c r="L977" s="2">
        <v>265.74294224998499</v>
      </c>
      <c r="M977" s="2">
        <v>59.998440056619202</v>
      </c>
    </row>
    <row r="978" spans="1:13" x14ac:dyDescent="0.2">
      <c r="A978" s="2" t="s">
        <v>1668</v>
      </c>
      <c r="B978" s="2">
        <v>177</v>
      </c>
      <c r="C978" s="2">
        <v>10</v>
      </c>
      <c r="D978" s="2">
        <v>2</v>
      </c>
      <c r="E978" s="2">
        <v>0</v>
      </c>
      <c r="F978" s="2">
        <v>1.9761710416059901</v>
      </c>
      <c r="G978" s="2" t="s">
        <v>1915</v>
      </c>
      <c r="H978" s="2" t="s">
        <v>1916</v>
      </c>
      <c r="I978" s="2" t="s">
        <v>23</v>
      </c>
      <c r="J978" s="2" t="s">
        <v>1917</v>
      </c>
      <c r="K978" s="2">
        <v>265.75017691659701</v>
      </c>
      <c r="L978" s="2">
        <v>267.72637708333798</v>
      </c>
      <c r="M978" s="2">
        <v>59.998440056619202</v>
      </c>
    </row>
    <row r="979" spans="1:13" x14ac:dyDescent="0.2">
      <c r="A979" s="2" t="s">
        <v>1668</v>
      </c>
      <c r="B979" s="2">
        <v>178</v>
      </c>
      <c r="C979" s="2">
        <v>10</v>
      </c>
      <c r="D979" s="2">
        <v>1</v>
      </c>
      <c r="E979" s="2">
        <v>1</v>
      </c>
      <c r="F979" s="2">
        <v>2.42559762508608</v>
      </c>
      <c r="G979" s="2" t="s">
        <v>1918</v>
      </c>
      <c r="H979" s="2" t="s">
        <v>1048</v>
      </c>
      <c r="I979" s="2" t="s">
        <v>16</v>
      </c>
      <c r="J979" s="2" t="s">
        <v>1919</v>
      </c>
      <c r="K979" s="2">
        <v>267.73442445835099</v>
      </c>
      <c r="L979" s="2">
        <v>270.16006237501301</v>
      </c>
      <c r="M979" s="2">
        <v>59.998440056619202</v>
      </c>
    </row>
    <row r="980" spans="1:13" x14ac:dyDescent="0.2">
      <c r="A980" s="2" t="s">
        <v>1668</v>
      </c>
      <c r="B980" s="2">
        <v>179</v>
      </c>
      <c r="C980" s="2">
        <v>5</v>
      </c>
      <c r="D980" s="2">
        <v>1</v>
      </c>
      <c r="E980" s="2">
        <v>1</v>
      </c>
      <c r="F980" s="2">
        <v>1.51191029162146</v>
      </c>
      <c r="G980" s="2" t="s">
        <v>1327</v>
      </c>
      <c r="H980" s="2" t="s">
        <v>383</v>
      </c>
      <c r="I980" s="2" t="s">
        <v>16</v>
      </c>
      <c r="J980" s="2" t="s">
        <v>1920</v>
      </c>
      <c r="K980" s="2">
        <v>270.16530216659902</v>
      </c>
      <c r="L980" s="2">
        <v>271.67727712495298</v>
      </c>
      <c r="M980" s="2">
        <v>59.998440056619202</v>
      </c>
    </row>
    <row r="981" spans="1:13" x14ac:dyDescent="0.2">
      <c r="A981" s="2" t="s">
        <v>1668</v>
      </c>
      <c r="B981" s="2">
        <v>180</v>
      </c>
      <c r="C981" s="2">
        <v>5</v>
      </c>
      <c r="D981" s="2">
        <v>1</v>
      </c>
      <c r="E981" s="2">
        <v>1</v>
      </c>
      <c r="F981" s="2">
        <v>1.29247916664463</v>
      </c>
      <c r="G981" s="2" t="s">
        <v>1921</v>
      </c>
      <c r="H981" s="2" t="s">
        <v>505</v>
      </c>
      <c r="I981" s="2" t="s">
        <v>16</v>
      </c>
      <c r="J981" s="2" t="s">
        <v>1922</v>
      </c>
      <c r="K981" s="2">
        <v>271.68382774991898</v>
      </c>
      <c r="L981" s="2">
        <v>272.97638433333498</v>
      </c>
      <c r="M981" s="2">
        <v>59.998440056619202</v>
      </c>
    </row>
    <row r="982" spans="1:13" x14ac:dyDescent="0.2">
      <c r="A982" s="2" t="s">
        <v>1668</v>
      </c>
      <c r="B982" s="2">
        <v>181</v>
      </c>
      <c r="C982" s="2">
        <v>10</v>
      </c>
      <c r="D982" s="2">
        <v>1</v>
      </c>
      <c r="E982" s="2">
        <v>1</v>
      </c>
      <c r="F982" s="2">
        <v>1.6247203333769</v>
      </c>
      <c r="G982" s="2" t="s">
        <v>1161</v>
      </c>
      <c r="H982" s="2" t="s">
        <v>1786</v>
      </c>
      <c r="I982" s="2" t="s">
        <v>16</v>
      </c>
      <c r="J982" s="2" t="s">
        <v>1923</v>
      </c>
      <c r="K982" s="2">
        <v>272.98486108332901</v>
      </c>
      <c r="L982" s="2">
        <v>274.60963174991798</v>
      </c>
      <c r="M982" s="2">
        <v>59.998440056619202</v>
      </c>
    </row>
    <row r="983" spans="1:13" x14ac:dyDescent="0.2">
      <c r="A983" s="2" t="s">
        <v>1668</v>
      </c>
      <c r="B983" s="2">
        <v>182</v>
      </c>
      <c r="C983" s="2">
        <v>5</v>
      </c>
      <c r="D983" s="2">
        <v>1</v>
      </c>
      <c r="E983" s="2">
        <v>1</v>
      </c>
      <c r="F983" s="2">
        <v>1.6128699999535501</v>
      </c>
      <c r="G983" s="2" t="s">
        <v>1290</v>
      </c>
      <c r="H983" s="2" t="s">
        <v>1924</v>
      </c>
      <c r="I983" s="2" t="s">
        <v>16</v>
      </c>
      <c r="J983" s="2" t="s">
        <v>1925</v>
      </c>
      <c r="K983" s="2">
        <v>274.61365175002697</v>
      </c>
      <c r="L983" s="2">
        <v>276.22654462500901</v>
      </c>
      <c r="M983" s="2">
        <v>59.998440056619202</v>
      </c>
    </row>
    <row r="984" spans="1:13" x14ac:dyDescent="0.2">
      <c r="A984" s="2" t="s">
        <v>1668</v>
      </c>
      <c r="B984" s="2">
        <v>183</v>
      </c>
      <c r="C984" s="2">
        <v>10</v>
      </c>
      <c r="D984" s="2">
        <v>1</v>
      </c>
      <c r="E984" s="2">
        <v>1</v>
      </c>
      <c r="F984" s="2">
        <v>1.5429427917115399</v>
      </c>
      <c r="G984" s="2" t="s">
        <v>1926</v>
      </c>
      <c r="H984" s="2" t="s">
        <v>1630</v>
      </c>
      <c r="I984" s="2" t="s">
        <v>16</v>
      </c>
      <c r="J984" s="2" t="s">
        <v>1927</v>
      </c>
      <c r="K984" s="2">
        <v>276.233656666591</v>
      </c>
      <c r="L984" s="2">
        <v>277.77662549994398</v>
      </c>
      <c r="M984" s="2">
        <v>59.998440056619202</v>
      </c>
    </row>
    <row r="985" spans="1:13" x14ac:dyDescent="0.2">
      <c r="A985" s="2" t="s">
        <v>1668</v>
      </c>
      <c r="B985" s="2">
        <v>184</v>
      </c>
      <c r="C985" s="2">
        <v>5</v>
      </c>
      <c r="D985" s="2">
        <v>1</v>
      </c>
      <c r="E985" s="2">
        <v>1</v>
      </c>
      <c r="F985" s="2">
        <v>1.31210287497379</v>
      </c>
      <c r="G985" s="2" t="s">
        <v>620</v>
      </c>
      <c r="H985" s="2" t="s">
        <v>1928</v>
      </c>
      <c r="I985" s="2" t="s">
        <v>16</v>
      </c>
      <c r="J985" s="2" t="s">
        <v>1929</v>
      </c>
      <c r="K985" s="2">
        <v>277.78099916665798</v>
      </c>
      <c r="L985" s="2">
        <v>279.09315433329903</v>
      </c>
      <c r="M985" s="2">
        <v>59.998440056619202</v>
      </c>
    </row>
    <row r="986" spans="1:13" x14ac:dyDescent="0.2">
      <c r="A986" s="2" t="s">
        <v>1668</v>
      </c>
      <c r="B986" s="2">
        <v>185</v>
      </c>
      <c r="C986" s="2">
        <v>10</v>
      </c>
      <c r="D986" s="2">
        <v>1</v>
      </c>
      <c r="E986" s="2">
        <v>1</v>
      </c>
      <c r="F986" s="2">
        <v>2.1916045416146499</v>
      </c>
      <c r="G986" s="2" t="s">
        <v>774</v>
      </c>
      <c r="H986" s="2" t="s">
        <v>854</v>
      </c>
      <c r="I986" s="2" t="s">
        <v>16</v>
      </c>
      <c r="J986" s="2" t="s">
        <v>1930</v>
      </c>
      <c r="K986" s="2">
        <v>279.10132191667799</v>
      </c>
      <c r="L986" s="2">
        <v>281.29296099999902</v>
      </c>
      <c r="M986" s="2">
        <v>59.998440056619202</v>
      </c>
    </row>
    <row r="987" spans="1:13" x14ac:dyDescent="0.2">
      <c r="A987" s="2" t="s">
        <v>1668</v>
      </c>
      <c r="B987" s="2">
        <v>186</v>
      </c>
      <c r="C987" s="2">
        <v>5</v>
      </c>
      <c r="D987" s="2">
        <v>1</v>
      </c>
      <c r="E987" s="2">
        <v>1</v>
      </c>
      <c r="F987" s="2">
        <v>1.5303698333445901</v>
      </c>
      <c r="G987" s="2" t="s">
        <v>1931</v>
      </c>
      <c r="H987" s="2" t="s">
        <v>398</v>
      </c>
      <c r="I987" s="2" t="s">
        <v>16</v>
      </c>
      <c r="J987" s="2" t="s">
        <v>1932</v>
      </c>
      <c r="K987" s="2">
        <v>281.29691404162401</v>
      </c>
      <c r="L987" s="2">
        <v>282.82732479157897</v>
      </c>
      <c r="M987" s="2">
        <v>59.998440056619202</v>
      </c>
    </row>
    <row r="988" spans="1:13" x14ac:dyDescent="0.2">
      <c r="A988" s="2" t="s">
        <v>1668</v>
      </c>
      <c r="B988" s="2">
        <v>187</v>
      </c>
      <c r="C988" s="2">
        <v>10</v>
      </c>
      <c r="D988" s="2">
        <v>1</v>
      </c>
      <c r="E988" s="2">
        <v>1</v>
      </c>
      <c r="F988" s="2">
        <v>1.38938695832621</v>
      </c>
      <c r="G988" s="2" t="s">
        <v>1463</v>
      </c>
      <c r="H988" s="2" t="s">
        <v>392</v>
      </c>
      <c r="I988" s="2" t="s">
        <v>16</v>
      </c>
      <c r="J988" s="2" t="s">
        <v>1933</v>
      </c>
      <c r="K988" s="2">
        <v>282.83701437502202</v>
      </c>
      <c r="L988" s="2">
        <v>284.22642966662499</v>
      </c>
      <c r="M988" s="2">
        <v>59.998440056619202</v>
      </c>
    </row>
    <row r="989" spans="1:13" x14ac:dyDescent="0.2">
      <c r="A989" s="2" t="s">
        <v>1668</v>
      </c>
      <c r="B989" s="2">
        <v>188</v>
      </c>
      <c r="C989" s="2">
        <v>5</v>
      </c>
      <c r="D989" s="2">
        <v>1</v>
      </c>
      <c r="E989" s="2">
        <v>1</v>
      </c>
      <c r="F989" s="2">
        <v>2.0623620416736199</v>
      </c>
      <c r="G989" s="2" t="s">
        <v>1160</v>
      </c>
      <c r="H989" s="2" t="s">
        <v>440</v>
      </c>
      <c r="I989" s="2" t="s">
        <v>16</v>
      </c>
      <c r="J989" s="2" t="s">
        <v>1934</v>
      </c>
      <c r="K989" s="2">
        <v>284.23080520832502</v>
      </c>
      <c r="L989" s="2">
        <v>286.29321066662698</v>
      </c>
      <c r="M989" s="2">
        <v>59.998440056619202</v>
      </c>
    </row>
    <row r="990" spans="1:13" x14ac:dyDescent="0.2">
      <c r="A990" s="2" t="s">
        <v>1668</v>
      </c>
      <c r="B990" s="2">
        <v>189</v>
      </c>
      <c r="C990" s="2">
        <v>10</v>
      </c>
      <c r="D990" s="2">
        <v>1</v>
      </c>
      <c r="E990" s="2">
        <v>1</v>
      </c>
      <c r="F990" s="2">
        <v>1.57460587495007</v>
      </c>
      <c r="G990" s="2" t="s">
        <v>196</v>
      </c>
      <c r="H990" s="2" t="s">
        <v>147</v>
      </c>
      <c r="I990" s="2" t="s">
        <v>16</v>
      </c>
      <c r="J990" s="2" t="s">
        <v>1935</v>
      </c>
      <c r="K990" s="2">
        <v>286.30136858334299</v>
      </c>
      <c r="L990" s="2">
        <v>287.87601783324499</v>
      </c>
      <c r="M990" s="2">
        <v>59.998440056619202</v>
      </c>
    </row>
    <row r="991" spans="1:13" x14ac:dyDescent="0.2">
      <c r="A991" s="2" t="s">
        <v>1668</v>
      </c>
      <c r="B991" s="2">
        <v>190</v>
      </c>
      <c r="C991" s="2">
        <v>10</v>
      </c>
      <c r="D991" s="2">
        <v>1</v>
      </c>
      <c r="E991" s="2">
        <v>1</v>
      </c>
      <c r="F991" s="2">
        <v>1.89223937503994</v>
      </c>
      <c r="G991" s="2" t="s">
        <v>1840</v>
      </c>
      <c r="H991" s="2" t="s">
        <v>1165</v>
      </c>
      <c r="I991" s="2" t="s">
        <v>16</v>
      </c>
      <c r="J991" s="2" t="s">
        <v>1936</v>
      </c>
      <c r="K991" s="2">
        <v>287.88400983333099</v>
      </c>
      <c r="L991" s="2">
        <v>289.776274041622</v>
      </c>
      <c r="M991" s="2">
        <v>59.998440056619202</v>
      </c>
    </row>
    <row r="992" spans="1:13" x14ac:dyDescent="0.2">
      <c r="A992" s="2" t="s">
        <v>1668</v>
      </c>
      <c r="B992" s="2">
        <v>191</v>
      </c>
      <c r="C992" s="2">
        <v>10</v>
      </c>
      <c r="D992" s="2">
        <v>1</v>
      </c>
      <c r="E992" s="2">
        <v>1</v>
      </c>
      <c r="F992" s="2">
        <v>1.44284366676584</v>
      </c>
      <c r="G992" s="2" t="s">
        <v>990</v>
      </c>
      <c r="H992" s="2" t="s">
        <v>608</v>
      </c>
      <c r="I992" s="2" t="s">
        <v>16</v>
      </c>
      <c r="J992" s="2" t="s">
        <v>1937</v>
      </c>
      <c r="K992" s="2">
        <v>289.78340866661199</v>
      </c>
      <c r="L992" s="2">
        <v>291.22629904164899</v>
      </c>
      <c r="M992" s="2">
        <v>59.998440056619202</v>
      </c>
    </row>
    <row r="993" spans="1:13" x14ac:dyDescent="0.2">
      <c r="A993" s="2" t="s">
        <v>1668</v>
      </c>
      <c r="B993" s="2">
        <v>192</v>
      </c>
      <c r="C993" s="2">
        <v>10</v>
      </c>
      <c r="D993" s="2">
        <v>1</v>
      </c>
      <c r="E993" s="2">
        <v>1</v>
      </c>
      <c r="F993" s="2">
        <v>2.02700000000186</v>
      </c>
      <c r="G993" s="2" t="s">
        <v>1317</v>
      </c>
      <c r="H993" s="2" t="s">
        <v>1938</v>
      </c>
      <c r="I993" s="2" t="s">
        <v>16</v>
      </c>
      <c r="J993" s="2" t="s">
        <v>1939</v>
      </c>
      <c r="K993" s="2">
        <v>291.233372166636</v>
      </c>
      <c r="L993" s="2">
        <v>293.26042287494101</v>
      </c>
      <c r="M993" s="2">
        <v>59.998440056619202</v>
      </c>
    </row>
    <row r="994" spans="1:13" x14ac:dyDescent="0.2">
      <c r="A994" s="2" t="s">
        <v>1668</v>
      </c>
      <c r="B994" s="2">
        <v>193</v>
      </c>
      <c r="C994" s="2">
        <v>10</v>
      </c>
      <c r="D994" s="2">
        <v>1</v>
      </c>
      <c r="E994" s="2">
        <v>1</v>
      </c>
      <c r="F994" s="2">
        <v>1.70662754168734</v>
      </c>
      <c r="G994" s="2" t="s">
        <v>1940</v>
      </c>
      <c r="H994" s="2" t="s">
        <v>263</v>
      </c>
      <c r="I994" s="2" t="s">
        <v>16</v>
      </c>
      <c r="J994" s="2" t="s">
        <v>1941</v>
      </c>
      <c r="K994" s="2">
        <v>293.27031170832902</v>
      </c>
      <c r="L994" s="2">
        <v>294.97696987492998</v>
      </c>
      <c r="M994" s="2">
        <v>59.998440056619202</v>
      </c>
    </row>
    <row r="995" spans="1:13" x14ac:dyDescent="0.2">
      <c r="A995" s="2" t="s">
        <v>1668</v>
      </c>
      <c r="B995" s="2">
        <v>194</v>
      </c>
      <c r="C995" s="2">
        <v>5</v>
      </c>
      <c r="D995" s="2">
        <v>1</v>
      </c>
      <c r="E995" s="2">
        <v>1</v>
      </c>
      <c r="F995" s="2">
        <v>1.7783779583405701</v>
      </c>
      <c r="G995" s="2" t="s">
        <v>1000</v>
      </c>
      <c r="H995" s="2" t="s">
        <v>1942</v>
      </c>
      <c r="I995" s="2" t="s">
        <v>16</v>
      </c>
      <c r="J995" s="2" t="s">
        <v>1943</v>
      </c>
      <c r="K995" s="2">
        <v>294.98143370833702</v>
      </c>
      <c r="L995" s="2">
        <v>296.75983337499201</v>
      </c>
      <c r="M995" s="2">
        <v>59.998440056619202</v>
      </c>
    </row>
    <row r="996" spans="1:13" x14ac:dyDescent="0.2">
      <c r="A996" s="2" t="s">
        <v>1668</v>
      </c>
      <c r="B996" s="2">
        <v>195</v>
      </c>
      <c r="C996" s="2">
        <v>5</v>
      </c>
      <c r="D996" s="2">
        <v>1</v>
      </c>
      <c r="E996" s="2">
        <v>1</v>
      </c>
      <c r="F996" s="2">
        <v>1.5963386249495699</v>
      </c>
      <c r="G996" s="2" t="s">
        <v>210</v>
      </c>
      <c r="H996" s="2" t="s">
        <v>1209</v>
      </c>
      <c r="I996" s="2" t="s">
        <v>16</v>
      </c>
      <c r="J996" s="2" t="s">
        <v>1944</v>
      </c>
      <c r="K996" s="2">
        <v>296.763292875025</v>
      </c>
      <c r="L996" s="2">
        <v>298.35965666663799</v>
      </c>
      <c r="M996" s="2">
        <v>59.998440056619202</v>
      </c>
    </row>
    <row r="997" spans="1:13" x14ac:dyDescent="0.2">
      <c r="A997" s="2" t="s">
        <v>1668</v>
      </c>
      <c r="B997" s="2">
        <v>196</v>
      </c>
      <c r="C997" s="2">
        <v>10</v>
      </c>
      <c r="D997" s="2">
        <v>1</v>
      </c>
      <c r="E997" s="2">
        <v>1</v>
      </c>
      <c r="F997" s="2">
        <v>2.0430437499890099</v>
      </c>
      <c r="G997" s="2" t="s">
        <v>1945</v>
      </c>
      <c r="H997" s="2" t="s">
        <v>670</v>
      </c>
      <c r="I997" s="2" t="s">
        <v>16</v>
      </c>
      <c r="J997" s="2" t="s">
        <v>1946</v>
      </c>
      <c r="K997" s="2">
        <v>298.36667887494002</v>
      </c>
      <c r="L997" s="2">
        <v>300.40975274995401</v>
      </c>
      <c r="M997" s="2">
        <v>59.998440056619202</v>
      </c>
    </row>
    <row r="998" spans="1:13" x14ac:dyDescent="0.2">
      <c r="A998" s="2" t="s">
        <v>1668</v>
      </c>
      <c r="B998" s="2">
        <v>197</v>
      </c>
      <c r="C998" s="2">
        <v>5</v>
      </c>
      <c r="D998" s="2">
        <v>1</v>
      </c>
      <c r="E998" s="2">
        <v>1</v>
      </c>
      <c r="F998" s="2">
        <v>1.1623076666146499</v>
      </c>
      <c r="G998" s="2" t="s">
        <v>114</v>
      </c>
      <c r="H998" s="2" t="s">
        <v>1283</v>
      </c>
      <c r="I998" s="2" t="s">
        <v>16</v>
      </c>
      <c r="J998" s="2" t="s">
        <v>1947</v>
      </c>
      <c r="K998" s="2">
        <v>300.41414570831699</v>
      </c>
      <c r="L998" s="2">
        <v>301.57648049993401</v>
      </c>
      <c r="M998" s="2">
        <v>59.998440056619202</v>
      </c>
    </row>
    <row r="999" spans="1:13" x14ac:dyDescent="0.2">
      <c r="A999" s="2" t="s">
        <v>1668</v>
      </c>
      <c r="B999" s="2">
        <v>198</v>
      </c>
      <c r="C999" s="2">
        <v>5</v>
      </c>
      <c r="D999" s="2">
        <v>1</v>
      </c>
      <c r="E999" s="2">
        <v>1</v>
      </c>
      <c r="F999" s="2">
        <v>1.02927683340386</v>
      </c>
      <c r="G999" s="2" t="s">
        <v>941</v>
      </c>
      <c r="H999" s="2" t="s">
        <v>772</v>
      </c>
      <c r="I999" s="2" t="s">
        <v>16</v>
      </c>
      <c r="J999" s="2" t="s">
        <v>1948</v>
      </c>
      <c r="K999" s="2">
        <v>301.58090704167302</v>
      </c>
      <c r="L999" s="2">
        <v>302.61023066658498</v>
      </c>
      <c r="M999" s="2">
        <v>59.998440056619202</v>
      </c>
    </row>
    <row r="1000" spans="1:13" x14ac:dyDescent="0.2">
      <c r="A1000" s="2" t="s">
        <v>1668</v>
      </c>
      <c r="B1000" s="2">
        <v>199</v>
      </c>
      <c r="C1000" s="2">
        <v>10</v>
      </c>
      <c r="D1000" s="2">
        <v>1</v>
      </c>
      <c r="E1000" s="2">
        <v>1</v>
      </c>
      <c r="F1000" s="2">
        <v>1.3067446249770001</v>
      </c>
      <c r="G1000" s="2" t="s">
        <v>965</v>
      </c>
      <c r="H1000" s="2" t="s">
        <v>519</v>
      </c>
      <c r="I1000" s="2" t="s">
        <v>16</v>
      </c>
      <c r="J1000" s="2" t="s">
        <v>1949</v>
      </c>
      <c r="K1000" s="2">
        <v>302.62012341665098</v>
      </c>
      <c r="L1000" s="2">
        <v>303.92689704161597</v>
      </c>
      <c r="M1000" s="2">
        <v>59.998440056619202</v>
      </c>
    </row>
    <row r="1001" spans="1:13" x14ac:dyDescent="0.2">
      <c r="A1001" s="2" t="s">
        <v>1668</v>
      </c>
      <c r="B1001" s="2">
        <v>200</v>
      </c>
      <c r="C1001" s="2">
        <v>10</v>
      </c>
      <c r="D1001" s="2">
        <v>1</v>
      </c>
      <c r="E1001" s="2">
        <v>1</v>
      </c>
      <c r="F1001" s="2">
        <v>2.2086811667541002</v>
      </c>
      <c r="G1001" s="2" t="s">
        <v>103</v>
      </c>
      <c r="H1001" s="2" t="s">
        <v>1950</v>
      </c>
      <c r="I1001" s="2" t="s">
        <v>16</v>
      </c>
      <c r="J1001" s="2" t="s">
        <v>1951</v>
      </c>
      <c r="K1001" s="2">
        <v>303.93510462494999</v>
      </c>
      <c r="L1001" s="2">
        <v>306.14382687502098</v>
      </c>
      <c r="M1001" s="2">
        <v>59.998440056619202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8"/>
  <sheetViews>
    <sheetView tabSelected="1" zoomScaleNormal="100" workbookViewId="0">
      <selection activeCell="N4" sqref="N4"/>
    </sheetView>
  </sheetViews>
  <sheetFormatPr baseColWidth="10" defaultColWidth="8.6640625" defaultRowHeight="15" x14ac:dyDescent="0.2"/>
  <cols>
    <col min="1" max="1" width="14" customWidth="1"/>
    <col min="2" max="10" width="13" customWidth="1"/>
  </cols>
  <sheetData>
    <row r="1" spans="1:10" ht="17" x14ac:dyDescent="0.2">
      <c r="A1" s="3" t="s">
        <v>1974</v>
      </c>
    </row>
    <row r="2" spans="1:10" ht="1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</row>
    <row r="4" spans="1:10" s="15" customFormat="1" ht="45" customHeight="1" x14ac:dyDescent="0.2">
      <c r="A4" s="14" t="s">
        <v>0</v>
      </c>
      <c r="B4" s="14" t="s">
        <v>1952</v>
      </c>
      <c r="C4" s="14" t="s">
        <v>1953</v>
      </c>
      <c r="D4" s="14" t="s">
        <v>1954</v>
      </c>
      <c r="E4" s="14" t="s">
        <v>1955</v>
      </c>
      <c r="F4" s="14" t="s">
        <v>1956</v>
      </c>
      <c r="G4" s="14" t="s">
        <v>1957</v>
      </c>
      <c r="H4" s="14" t="s">
        <v>1958</v>
      </c>
      <c r="I4" s="14" t="s">
        <v>1959</v>
      </c>
      <c r="J4" s="14" t="s">
        <v>1960</v>
      </c>
    </row>
    <row r="5" spans="1:10" x14ac:dyDescent="0.2">
      <c r="A5" s="2" t="s">
        <v>994</v>
      </c>
      <c r="B5" s="2">
        <v>200</v>
      </c>
      <c r="C5" s="2">
        <f>COUNTIFS(Data!$A$2:$A$1001,A5,Data!$E$2:$E$1001,1)</f>
        <v>182</v>
      </c>
      <c r="D5" s="4">
        <f>C5/B5</f>
        <v>0.91</v>
      </c>
      <c r="E5" s="5">
        <f>AVERAGEIFS(Data!$F$2:$F$1001,Data!$A$2:$A$1001,A5,Data!$E$2:$E$1001,1,Data!$C$2:$C$1001,5)</f>
        <v>1.4749116488746949</v>
      </c>
      <c r="F5" s="5">
        <f>AVERAGEIFS(Data!$F$2:$F$1001,Data!$A$2:$A$1001,A5,Data!$E$2:$E$1001,1,Data!$C$2:$C$1001,10)</f>
        <v>1.740939948162292</v>
      </c>
      <c r="G5" s="5">
        <f t="array" ref="G5">STDEV(IF((Data!$A$2:$A$1001=A5)*(Data!$E$2:$E$1001=1)*(Data!$C$2:$C$1001=5),Data!$F$2:$F$1001))</f>
        <v>0.37131392824552512</v>
      </c>
      <c r="H5" s="5">
        <f t="array" ref="H5">STDEV(IF((Data!$A$2:$A$1001=A5)*(Data!$E$2:$E$1001=1)*(Data!$C$2:$C$1001=10),Data!$F$2:$F$1001))</f>
        <v>0.54834413697768003</v>
      </c>
      <c r="I5" s="5">
        <f>AVERAGEIFS(Data!$F$2:$F$1001,Data!$A$2:$A$1001,A5,Data!$E$2:$E$1001,1)</f>
        <v>1.6006173287578449</v>
      </c>
      <c r="J5" s="6">
        <f>(F5-E5)/5*1000</f>
        <v>53.205659857519422</v>
      </c>
    </row>
    <row r="6" spans="1:10" x14ac:dyDescent="0.2">
      <c r="A6" s="2" t="s">
        <v>1668</v>
      </c>
      <c r="B6" s="2">
        <v>200</v>
      </c>
      <c r="C6" s="2">
        <f>COUNTIFS(Data!$A$2:$A$1001,A6,Data!$E$2:$E$1001,1)</f>
        <v>195</v>
      </c>
      <c r="D6" s="4">
        <f>C6/B6</f>
        <v>0.97499999999999998</v>
      </c>
      <c r="E6" s="5">
        <f>AVERAGEIFS(Data!$F$2:$F$1001,Data!$A$2:$A$1001,A6,Data!$E$2:$E$1001,1,Data!$C$2:$C$1001,5)</f>
        <v>1.3937785682526047</v>
      </c>
      <c r="F6" s="5">
        <f>AVERAGEIFS(Data!$F$2:$F$1001,Data!$A$2:$A$1001,A6,Data!$E$2:$E$1001,1,Data!$C$2:$C$1001,10)</f>
        <v>1.5414125127844647</v>
      </c>
      <c r="G6" s="5">
        <f t="array" ref="G6">STDEV(IF((Data!$A$2:$A$1001=A6)*(Data!$E$2:$E$1001=1)*(Data!$C$2:$C$1001=5),Data!$F$2:$F$1001))</f>
        <v>0.27410535821880866</v>
      </c>
      <c r="H6" s="5">
        <f t="array" ref="H6">STDEV(IF((Data!$A$2:$A$1001=A6)*(Data!$E$2:$E$1001=1)*(Data!$C$2:$C$1001=10),Data!$F$2:$F$1001))</f>
        <v>0.4299376813989122</v>
      </c>
      <c r="I6" s="5">
        <f>AVERAGEIFS(Data!$F$2:$F$1001,Data!$A$2:$A$1001,A6,Data!$E$2:$E$1001,1)</f>
        <v>1.4702453805485933</v>
      </c>
      <c r="J6" s="6">
        <f>(F6-E6)/5*1000</f>
        <v>29.526788906371994</v>
      </c>
    </row>
    <row r="7" spans="1:10" x14ac:dyDescent="0.2">
      <c r="A7" s="2" t="s">
        <v>13</v>
      </c>
      <c r="B7" s="2">
        <v>200</v>
      </c>
      <c r="C7" s="2">
        <f>COUNTIFS(Data!$A$2:$A$1001,A7,Data!$E$2:$E$1001,1)</f>
        <v>192</v>
      </c>
      <c r="D7" s="4">
        <f>C7/B7</f>
        <v>0.96</v>
      </c>
      <c r="E7" s="5">
        <f>AVERAGEIFS(Data!$F$2:$F$1001,Data!$A$2:$A$1001,A7,Data!$E$2:$E$1001,1,Data!$C$2:$C$1001,5)</f>
        <v>1.4076687261976493</v>
      </c>
      <c r="F7" s="5">
        <f>AVERAGEIFS(Data!$F$2:$F$1001,Data!$A$2:$A$1001,A7,Data!$E$2:$E$1001,1,Data!$C$2:$C$1001,10)</f>
        <v>1.6099445404332726</v>
      </c>
      <c r="G7" s="5">
        <f t="array" ref="G7">STDEV(IF((Data!$A$2:$A$1001=A7)*(Data!$E$2:$E$1001=1)*(Data!$C$2:$C$1001=5),Data!$F$2:$F$1001))</f>
        <v>0.28847871230908834</v>
      </c>
      <c r="H7" s="5">
        <f t="array" ref="H7">STDEV(IF((Data!$A$2:$A$1001=A7)*(Data!$E$2:$E$1001=1)*(Data!$C$2:$C$1001=10),Data!$F$2:$F$1001))</f>
        <v>0.38462918333625407</v>
      </c>
      <c r="I7" s="5">
        <f>AVERAGEIFS(Data!$F$2:$F$1001,Data!$A$2:$A$1001,A7,Data!$E$2:$E$1001,1)</f>
        <v>1.5140742326445134</v>
      </c>
      <c r="J7" s="6">
        <f>(F7-E7)/5*1000</f>
        <v>40.455162847124669</v>
      </c>
    </row>
    <row r="8" spans="1:10" x14ac:dyDescent="0.2">
      <c r="A8" s="2" t="s">
        <v>550</v>
      </c>
      <c r="B8" s="2">
        <v>200</v>
      </c>
      <c r="C8" s="2">
        <f>COUNTIFS(Data!$A$2:$A$1001,A8,Data!$E$2:$E$1001,1)</f>
        <v>188</v>
      </c>
      <c r="D8" s="4">
        <f>C8/B8</f>
        <v>0.94</v>
      </c>
      <c r="E8" s="5">
        <f>AVERAGEIFS(Data!$F$2:$F$1001,Data!$A$2:$A$1001,A8,Data!$E$2:$E$1001,1,Data!$C$2:$C$1001,5)</f>
        <v>1.3499957328247021</v>
      </c>
      <c r="F8" s="5">
        <f>AVERAGEIFS(Data!$F$2:$F$1001,Data!$A$2:$A$1001,A8,Data!$E$2:$E$1001,1,Data!$C$2:$C$1001,10)</f>
        <v>1.5135966634626021</v>
      </c>
      <c r="G8" s="5">
        <f t="array" ref="G8">STDEV(IF((Data!$A$2:$A$1001=A8)*(Data!$E$2:$E$1001=1)*(Data!$C$2:$C$1001=5),Data!$F$2:$F$1001))</f>
        <v>0.29797196058057773</v>
      </c>
      <c r="H8" s="5">
        <f t="array" ref="H8">STDEV(IF((Data!$A$2:$A$1001=A8)*(Data!$E$2:$E$1001=1)*(Data!$C$2:$C$1001=10),Data!$F$2:$F$1001))</f>
        <v>0.45613966738127432</v>
      </c>
      <c r="I8" s="5">
        <f>AVERAGEIFS(Data!$F$2:$F$1001,Data!$A$2:$A$1001,A8,Data!$E$2:$E$1001,1)</f>
        <v>1.4291855449951747</v>
      </c>
      <c r="J8" s="6">
        <f>(F8-E8)/5*1000</f>
        <v>32.720186127580007</v>
      </c>
    </row>
    <row r="9" spans="1:10" x14ac:dyDescent="0.2">
      <c r="A9" s="2" t="s">
        <v>1361</v>
      </c>
      <c r="B9" s="2">
        <v>200</v>
      </c>
      <c r="C9" s="2">
        <f>COUNTIFS(Data!$A$2:$A$1001,A9,Data!$E$2:$E$1001,1)</f>
        <v>191</v>
      </c>
      <c r="D9" s="4">
        <f>C9/B9</f>
        <v>0.95499999999999996</v>
      </c>
      <c r="E9" s="5">
        <f>AVERAGEIFS(Data!$F$2:$F$1001,Data!$A$2:$A$1001,A9,Data!$E$2:$E$1001,1,Data!$C$2:$C$1001,5)</f>
        <v>1.4114551684383223</v>
      </c>
      <c r="F9" s="5">
        <f>AVERAGEIFS(Data!$F$2:$F$1001,Data!$A$2:$A$1001,A9,Data!$E$2:$E$1001,1,Data!$C$2:$C$1001,10)</f>
        <v>1.4934556323053203</v>
      </c>
      <c r="G9" s="5">
        <f t="array" ref="G9">STDEV(IF((Data!$A$2:$A$1001=A9)*(Data!$E$2:$E$1001=1)*(Data!$C$2:$C$1001=5),Data!$F$2:$F$1001))</f>
        <v>0.42474617002024179</v>
      </c>
      <c r="H9" s="5">
        <f t="array" ref="H9">STDEV(IF((Data!$A$2:$A$1001=A9)*(Data!$E$2:$E$1001=1)*(Data!$C$2:$C$1001=10),Data!$F$2:$F$1001))</f>
        <v>0.35605630197059801</v>
      </c>
      <c r="I9" s="5">
        <f>AVERAGEIFS(Data!$F$2:$F$1001,Data!$A$2:$A$1001,A9,Data!$E$2:$E$1001,1)</f>
        <v>1.4530993830723475</v>
      </c>
      <c r="J9" s="6">
        <f>(F9-E9)/5*1000</f>
        <v>16.400092773399599</v>
      </c>
    </row>
    <row r="10" spans="1:10" x14ac:dyDescent="0.2">
      <c r="A10" s="7" t="s">
        <v>1961</v>
      </c>
      <c r="B10" s="7">
        <v>200</v>
      </c>
      <c r="C10" s="8">
        <f t="shared" ref="B10:J10" si="0">AVERAGE(C5:C9)</f>
        <v>189.6</v>
      </c>
      <c r="D10" s="9">
        <f t="shared" si="0"/>
        <v>0.94799999999999984</v>
      </c>
      <c r="E10" s="10">
        <f t="shared" si="0"/>
        <v>1.4075619689175947</v>
      </c>
      <c r="F10" s="10">
        <f t="shared" si="0"/>
        <v>1.5798698594295904</v>
      </c>
      <c r="G10" s="10">
        <f t="shared" si="0"/>
        <v>0.3313232258748483</v>
      </c>
      <c r="H10" s="10">
        <f t="shared" si="0"/>
        <v>0.43502139421294378</v>
      </c>
      <c r="I10" s="10">
        <f t="shared" si="0"/>
        <v>1.4934443740036947</v>
      </c>
      <c r="J10" s="8">
        <f t="shared" si="0"/>
        <v>34.461578102399137</v>
      </c>
    </row>
    <row r="11" spans="1:10" x14ac:dyDescent="0.2">
      <c r="A11" s="7" t="s">
        <v>1962</v>
      </c>
      <c r="B11" s="7">
        <f t="shared" ref="B11:J11" si="1">STDEV(B5:B9)</f>
        <v>0</v>
      </c>
      <c r="C11" s="8">
        <f t="shared" si="1"/>
        <v>4.9295030175464953</v>
      </c>
      <c r="D11" s="9">
        <f t="shared" si="1"/>
        <v>2.4647515087732458E-2</v>
      </c>
      <c r="E11" s="10">
        <f t="shared" si="1"/>
        <v>4.4874829976678375E-2</v>
      </c>
      <c r="F11" s="10">
        <f t="shared" si="1"/>
        <v>0.10023295688791781</v>
      </c>
      <c r="G11" s="10">
        <f t="shared" si="1"/>
        <v>6.4321354127950342E-2</v>
      </c>
      <c r="H11" s="10">
        <f t="shared" si="1"/>
        <v>7.4311389327600882E-2</v>
      </c>
      <c r="I11" s="10">
        <f t="shared" si="1"/>
        <v>6.7466180406189111E-2</v>
      </c>
      <c r="J11" s="8">
        <f t="shared" si="1"/>
        <v>13.609422302615355</v>
      </c>
    </row>
    <row r="12" spans="1:10" x14ac:dyDescent="0.2">
      <c r="A12" s="2"/>
      <c r="B12" s="2"/>
      <c r="C12" s="2"/>
      <c r="D12" s="4"/>
      <c r="E12" s="5"/>
      <c r="F12" s="5"/>
      <c r="G12" s="5"/>
      <c r="H12" s="5"/>
      <c r="I12" s="5"/>
      <c r="J12" s="6"/>
    </row>
    <row r="13" spans="1:10" x14ac:dyDescent="0.2">
      <c r="A13" s="7" t="s">
        <v>1963</v>
      </c>
      <c r="B13" s="2"/>
      <c r="C13" s="2"/>
      <c r="D13" s="4"/>
      <c r="E13" s="5"/>
      <c r="F13" s="11">
        <f>TTEST(F5:F9,E5:E9,2,1)</f>
        <v>4.7964033331690031E-3</v>
      </c>
      <c r="G13" s="5"/>
      <c r="H13" s="5"/>
      <c r="I13" s="5"/>
      <c r="J13" s="6"/>
    </row>
    <row r="14" spans="1:10" x14ac:dyDescent="0.2">
      <c r="A14" s="7" t="s">
        <v>1964</v>
      </c>
      <c r="B14" s="2"/>
      <c r="C14" s="2"/>
      <c r="D14" s="4"/>
      <c r="E14" s="5"/>
      <c r="F14" s="12">
        <f>J10/(J11/SQRT(5))</f>
        <v>5.6621382991454512</v>
      </c>
      <c r="G14" s="5"/>
      <c r="H14" s="5"/>
      <c r="I14" s="5"/>
      <c r="J14" s="6"/>
    </row>
    <row r="16" spans="1:10" x14ac:dyDescent="0.2">
      <c r="A16" s="7" t="s">
        <v>1975</v>
      </c>
    </row>
    <row r="17" spans="1:10" s="15" customFormat="1" ht="31" x14ac:dyDescent="0.2">
      <c r="A17" s="14" t="s">
        <v>0</v>
      </c>
      <c r="B17" s="14" t="s">
        <v>1965</v>
      </c>
      <c r="C17" s="14" t="s">
        <v>1966</v>
      </c>
      <c r="D17" s="14" t="s">
        <v>1967</v>
      </c>
      <c r="E17" s="14" t="s">
        <v>1968</v>
      </c>
      <c r="F17" s="14" t="s">
        <v>1969</v>
      </c>
      <c r="G17" s="14" t="s">
        <v>1970</v>
      </c>
    </row>
    <row r="18" spans="1:10" x14ac:dyDescent="0.2">
      <c r="A18" s="2" t="str">
        <f>A5</f>
        <v>VS1</v>
      </c>
      <c r="B18" s="5">
        <f t="shared" ref="B18:C23" si="2">E5</f>
        <v>1.4749116488746949</v>
      </c>
      <c r="C18" s="5">
        <f t="shared" si="2"/>
        <v>1.740939948162292</v>
      </c>
      <c r="D18" s="2">
        <f>COUNTIFS(Data!$A$2:$A$1001,A5,Data!$E$2:$E$1001,1,Data!$C$2:$C$1001,5)</f>
        <v>96</v>
      </c>
      <c r="E18" s="2">
        <f>COUNTIFS(Data!$A$2:$A$1001,A5,Data!$E$2:$E$1001,1,Data!$C$2:$C$1001,10)</f>
        <v>86</v>
      </c>
      <c r="F18" s="5">
        <f t="shared" ref="F18:G22" si="3">G5/SQRT(D18)</f>
        <v>3.7897069107914287E-2</v>
      </c>
      <c r="G18" s="5">
        <f t="shared" si="3"/>
        <v>5.912946896014934E-2</v>
      </c>
      <c r="H18" s="2"/>
      <c r="I18" s="2"/>
      <c r="J18" s="2"/>
    </row>
    <row r="19" spans="1:10" x14ac:dyDescent="0.2">
      <c r="A19" s="2" t="str">
        <f>A6</f>
        <v>VS2</v>
      </c>
      <c r="B19" s="5">
        <f t="shared" si="2"/>
        <v>1.3937785682526047</v>
      </c>
      <c r="C19" s="5">
        <f t="shared" si="2"/>
        <v>1.5414125127844647</v>
      </c>
      <c r="D19" s="2">
        <f>COUNTIFS(Data!$A$2:$A$1001,A6,Data!$E$2:$E$1001,1,Data!$C$2:$C$1001,5)</f>
        <v>94</v>
      </c>
      <c r="E19" s="2">
        <f>COUNTIFS(Data!$A$2:$A$1001,A6,Data!$E$2:$E$1001,1,Data!$C$2:$C$1001,10)</f>
        <v>101</v>
      </c>
      <c r="F19" s="5">
        <f t="shared" si="3"/>
        <v>2.8271809018025659E-2</v>
      </c>
      <c r="G19" s="5">
        <f t="shared" si="3"/>
        <v>4.2780398246457109E-2</v>
      </c>
      <c r="H19" s="2"/>
      <c r="I19" s="2"/>
      <c r="J19" s="2"/>
    </row>
    <row r="20" spans="1:10" x14ac:dyDescent="0.2">
      <c r="A20" s="2" t="str">
        <f>A7</f>
        <v>VS3</v>
      </c>
      <c r="B20" s="5">
        <f t="shared" si="2"/>
        <v>1.4076687261976493</v>
      </c>
      <c r="C20" s="5">
        <f t="shared" si="2"/>
        <v>1.6099445404332726</v>
      </c>
      <c r="D20" s="2">
        <f>COUNTIFS(Data!$A$2:$A$1001,A7,Data!$E$2:$E$1001,1,Data!$C$2:$C$1001,5)</f>
        <v>91</v>
      </c>
      <c r="E20" s="2">
        <f>COUNTIFS(Data!$A$2:$A$1001,A7,Data!$E$2:$E$1001,1,Data!$C$2:$C$1001,10)</f>
        <v>101</v>
      </c>
      <c r="F20" s="5">
        <f t="shared" si="3"/>
        <v>3.0240785983068192E-2</v>
      </c>
      <c r="G20" s="5">
        <f t="shared" si="3"/>
        <v>3.8272034185966905E-2</v>
      </c>
      <c r="H20" s="2"/>
      <c r="I20" s="2"/>
      <c r="J20" s="2"/>
    </row>
    <row r="21" spans="1:10" x14ac:dyDescent="0.2">
      <c r="A21" s="2" t="str">
        <f>A8</f>
        <v>VS4</v>
      </c>
      <c r="B21" s="5">
        <f t="shared" si="2"/>
        <v>1.3499957328247021</v>
      </c>
      <c r="C21" s="5">
        <f t="shared" si="2"/>
        <v>1.5135966634626021</v>
      </c>
      <c r="D21" s="2">
        <f>COUNTIFS(Data!$A$2:$A$1001,A8,Data!$E$2:$E$1001,1,Data!$C$2:$C$1001,5)</f>
        <v>97</v>
      </c>
      <c r="E21" s="2">
        <f>COUNTIFS(Data!$A$2:$A$1001,A8,Data!$E$2:$E$1001,1,Data!$C$2:$C$1001,10)</f>
        <v>91</v>
      </c>
      <c r="F21" s="5">
        <f t="shared" si="3"/>
        <v>3.0254468749283552E-2</v>
      </c>
      <c r="G21" s="5">
        <f t="shared" si="3"/>
        <v>4.7816429674316929E-2</v>
      </c>
      <c r="H21" s="2"/>
      <c r="I21" s="2"/>
      <c r="J21" s="2"/>
    </row>
    <row r="22" spans="1:10" x14ac:dyDescent="0.2">
      <c r="A22" s="2" t="str">
        <f>A9</f>
        <v>VS5</v>
      </c>
      <c r="B22" s="5">
        <f t="shared" si="2"/>
        <v>1.4114551684383223</v>
      </c>
      <c r="C22" s="5">
        <f t="shared" si="2"/>
        <v>1.4934556323053203</v>
      </c>
      <c r="D22" s="2">
        <f>COUNTIFS(Data!$A$2:$A$1001,A9,Data!$E$2:$E$1001,1,Data!$C$2:$C$1001,5)</f>
        <v>94</v>
      </c>
      <c r="E22" s="2">
        <f>COUNTIFS(Data!$A$2:$A$1001,A9,Data!$E$2:$E$1001,1,Data!$C$2:$C$1001,10)</f>
        <v>97</v>
      </c>
      <c r="F22" s="5">
        <f t="shared" si="3"/>
        <v>4.3809222402592711E-2</v>
      </c>
      <c r="G22" s="5">
        <f t="shared" si="3"/>
        <v>3.6152040077750455E-2</v>
      </c>
      <c r="H22" s="2"/>
      <c r="I22" s="2"/>
      <c r="J22" s="2"/>
    </row>
    <row r="23" spans="1:10" x14ac:dyDescent="0.2">
      <c r="A23" s="7" t="s">
        <v>1971</v>
      </c>
      <c r="B23" s="5">
        <f t="shared" si="2"/>
        <v>1.4075619689175947</v>
      </c>
      <c r="C23" s="5">
        <f t="shared" si="2"/>
        <v>1.5798698594295904</v>
      </c>
      <c r="D23" s="2">
        <v>5</v>
      </c>
      <c r="E23" s="2">
        <v>5</v>
      </c>
      <c r="F23" s="5">
        <f>E11/SQRT(5)</f>
        <v>2.0068634061319628E-2</v>
      </c>
      <c r="G23" s="5">
        <f>F11/SQRT(5)</f>
        <v>4.4825541037437994E-2</v>
      </c>
      <c r="H23" s="2"/>
      <c r="I23" s="2"/>
      <c r="J23" s="2"/>
    </row>
    <row r="24" spans="1:10" x14ac:dyDescent="0.2">
      <c r="A24" s="13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7" t="s">
        <v>1972</v>
      </c>
      <c r="B25" s="2"/>
      <c r="C25" s="2"/>
      <c r="D25" s="2"/>
      <c r="E25" s="2"/>
      <c r="F25" s="2"/>
      <c r="G25" s="2"/>
      <c r="H25" s="2"/>
      <c r="I25" s="2"/>
      <c r="J25" s="2"/>
    </row>
    <row r="26" spans="1:10" s="15" customFormat="1" ht="30" customHeight="1" x14ac:dyDescent="0.2">
      <c r="A26" s="16" t="s">
        <v>1973</v>
      </c>
      <c r="B26" s="17" t="str">
        <f>A5&amp;" ("&amp;TEXT(J5,"0.0")&amp;" ms/item)"</f>
        <v>VS1 (53.2 ms/item)</v>
      </c>
      <c r="C26" s="17" t="str">
        <f>A6&amp;" ("&amp;TEXT(J6,"0.0")&amp;" ms/item)"</f>
        <v>VS2 (29.5 ms/item)</v>
      </c>
      <c r="D26" s="17" t="str">
        <f>A7&amp;" ("&amp;TEXT(J7,"0.0")&amp;" ms/item)"</f>
        <v>VS3 (40.5 ms/item)</v>
      </c>
      <c r="E26" s="17" t="str">
        <f>A8&amp;" ("&amp;TEXT(J8,"0.0")&amp;" ms/item)"</f>
        <v>VS4 (32.7 ms/item)</v>
      </c>
      <c r="F26" s="17" t="str">
        <f>A9&amp;" ("&amp;TEXT(J9,"0.0")&amp;" ms/item)"</f>
        <v>VS5 (16.4 ms/item)</v>
      </c>
      <c r="G26" s="17" t="str">
        <f>"Group ("&amp;TEXT(J10,"0.0")&amp;" ms/item)"</f>
        <v>Group (34.5 ms/item)</v>
      </c>
      <c r="H26" s="18"/>
      <c r="I26" s="18"/>
      <c r="J26" s="18"/>
    </row>
    <row r="27" spans="1:10" x14ac:dyDescent="0.2">
      <c r="A27" s="7">
        <v>5</v>
      </c>
      <c r="B27" s="5">
        <f>B18</f>
        <v>1.4749116488746949</v>
      </c>
      <c r="C27" s="5">
        <f>B19</f>
        <v>1.3937785682526047</v>
      </c>
      <c r="D27" s="5">
        <f>B20</f>
        <v>1.4076687261976493</v>
      </c>
      <c r="E27" s="5">
        <f>B21</f>
        <v>1.3499957328247021</v>
      </c>
      <c r="F27" s="5">
        <f>B22</f>
        <v>1.4114551684383223</v>
      </c>
      <c r="G27" s="5">
        <f>B23</f>
        <v>1.4075619689175947</v>
      </c>
      <c r="H27" s="5"/>
      <c r="I27" s="5"/>
      <c r="J27" s="5"/>
    </row>
    <row r="28" spans="1:10" x14ac:dyDescent="0.2">
      <c r="A28" s="7">
        <v>10</v>
      </c>
      <c r="B28" s="5">
        <f>C18</f>
        <v>1.740939948162292</v>
      </c>
      <c r="C28" s="5">
        <f>C19</f>
        <v>1.5414125127844647</v>
      </c>
      <c r="D28" s="5">
        <f>C20</f>
        <v>1.6099445404332726</v>
      </c>
      <c r="E28" s="5">
        <f>C21</f>
        <v>1.5135966634626021</v>
      </c>
      <c r="F28" s="5">
        <f>C22</f>
        <v>1.4934556323053203</v>
      </c>
      <c r="G28" s="5">
        <f>C23</f>
        <v>1.5798698594295904</v>
      </c>
      <c r="H28" s="5"/>
      <c r="I28" s="5"/>
      <c r="J28" s="5"/>
    </row>
  </sheetData>
  <mergeCells count="1">
    <mergeCell ref="A2:J2"/>
  </mergeCells>
  <pageMargins left="0.75" right="0.75" top="1" bottom="1" header="0.511811023622047" footer="0.511811023622047"/>
  <pageSetup paperSize="9" orientation="portrait" horizontalDpi="300" verticalDpi="300"/>
  <ignoredErrors>
    <ignoredError sqref="B1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TALESRA Anaya</cp:lastModifiedBy>
  <cp:revision>1</cp:revision>
  <dcterms:created xsi:type="dcterms:W3CDTF">2026-10-25T16:00:28Z</dcterms:created>
  <dcterms:modified xsi:type="dcterms:W3CDTF">2026-10-25T16:16:07Z</dcterms:modified>
  <dc:language>en-US</dc:language>
</cp:coreProperties>
</file>